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vbproject-master-lead-list\market-analyst-operations-hub\"/>
    </mc:Choice>
  </mc:AlternateContent>
  <xr:revisionPtr revIDLastSave="0" documentId="8_{CBD9383A-D5E3-47A2-9F59-B02800B34A64}" xr6:coauthVersionLast="47" xr6:coauthVersionMax="47" xr10:uidLastSave="{00000000-0000-0000-0000-000000000000}"/>
  <bookViews>
    <workbookView xWindow="-120" yWindow="-120" windowWidth="20730" windowHeight="11760" xr2:uid="{F9A262AD-815A-4E72-A33C-A672AD0280B5}"/>
  </bookViews>
  <sheets>
    <sheet name="Management_Dashboard" sheetId="1" r:id="rId1"/>
    <sheet name="CRM_Audit_Log" sheetId="8" r:id="rId2"/>
    <sheet name="Analyst_KPI_Tracker" sheetId="7" r:id="rId3"/>
    <sheet name="Daily_Attendance_Register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4" i="1" l="1"/>
  <c r="D23" i="1"/>
  <c r="H6" i="1"/>
  <c r="E6" i="1"/>
  <c r="H24" i="1"/>
  <c r="F24" i="1"/>
  <c r="E24" i="1"/>
  <c r="D24" i="1"/>
  <c r="C24" i="1"/>
  <c r="B24" i="1"/>
  <c r="G23" i="1"/>
  <c r="H23" i="1"/>
  <c r="F23" i="1"/>
  <c r="E23" i="1"/>
  <c r="C23" i="1"/>
  <c r="B23" i="1"/>
  <c r="H13" i="1"/>
  <c r="H14" i="1"/>
  <c r="H15" i="1"/>
  <c r="H16" i="1"/>
  <c r="H17" i="1"/>
  <c r="H18" i="1"/>
  <c r="H19" i="1"/>
  <c r="G13" i="1"/>
  <c r="G14" i="1"/>
  <c r="G15" i="1"/>
  <c r="G16" i="1"/>
  <c r="G17" i="1"/>
  <c r="G18" i="1"/>
  <c r="G19" i="1"/>
  <c r="F13" i="1"/>
  <c r="F14" i="1"/>
  <c r="F15" i="1"/>
  <c r="F16" i="1"/>
  <c r="F17" i="1"/>
  <c r="F18" i="1"/>
  <c r="F19" i="1"/>
  <c r="E13" i="1"/>
  <c r="E14" i="1"/>
  <c r="E15" i="1"/>
  <c r="E16" i="1"/>
  <c r="E17" i="1"/>
  <c r="E18" i="1"/>
  <c r="E19" i="1"/>
  <c r="D13" i="1"/>
  <c r="D14" i="1"/>
  <c r="D15" i="1"/>
  <c r="D16" i="1"/>
  <c r="D17" i="1"/>
  <c r="D18" i="1"/>
  <c r="D19" i="1"/>
  <c r="C13" i="1"/>
  <c r="C14" i="1"/>
  <c r="C15" i="1"/>
  <c r="C16" i="1"/>
  <c r="C17" i="1"/>
  <c r="C18" i="1"/>
  <c r="C19" i="1"/>
  <c r="B13" i="1"/>
  <c r="B14" i="1"/>
  <c r="B15" i="1"/>
  <c r="B16" i="1"/>
  <c r="B17" i="1"/>
  <c r="B18" i="1"/>
  <c r="B19" i="1"/>
  <c r="H12" i="1"/>
  <c r="G12" i="1"/>
  <c r="F12" i="1"/>
  <c r="E12" i="1"/>
  <c r="D12" i="1"/>
  <c r="C12" i="1"/>
  <c r="B12" i="1"/>
  <c r="B6" i="1"/>
  <c r="X3" i="6"/>
  <c r="X4" i="6"/>
  <c r="X5" i="6"/>
  <c r="X6" i="6"/>
  <c r="X7" i="6"/>
  <c r="X8" i="6"/>
  <c r="X9" i="6"/>
  <c r="X2" i="6"/>
  <c r="W3" i="6"/>
  <c r="W4" i="6"/>
  <c r="W5" i="6"/>
  <c r="W6" i="6"/>
  <c r="W7" i="6"/>
  <c r="W8" i="6"/>
  <c r="W9" i="6"/>
  <c r="W2" i="6"/>
  <c r="V3" i="6"/>
  <c r="V4" i="6"/>
  <c r="V5" i="6"/>
  <c r="V6" i="6"/>
  <c r="V7" i="6"/>
  <c r="V8" i="6"/>
  <c r="V9" i="6"/>
  <c r="V2" i="6"/>
  <c r="H3" i="7"/>
  <c r="H4" i="7"/>
  <c r="H5" i="7"/>
  <c r="H6" i="7"/>
  <c r="H7" i="7"/>
  <c r="H8" i="7"/>
  <c r="H9" i="7"/>
  <c r="H2" i="7"/>
  <c r="G3" i="7"/>
  <c r="G4" i="7"/>
  <c r="G5" i="7"/>
  <c r="G6" i="7"/>
  <c r="G7" i="7"/>
  <c r="G8" i="7"/>
  <c r="G9" i="7"/>
  <c r="G2" i="7"/>
  <c r="G2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</calcChain>
</file>

<file path=xl/sharedStrings.xml><?xml version="1.0" encoding="utf-8"?>
<sst xmlns="http://schemas.openxmlformats.org/spreadsheetml/2006/main" count="396" uniqueCount="151">
  <si>
    <t>Record_ID</t>
  </si>
  <si>
    <t>Client_Name</t>
  </si>
  <si>
    <t>Market_Sector</t>
  </si>
  <si>
    <t>Assigned_Analyst</t>
  </si>
  <si>
    <t>Report_Status</t>
  </si>
  <si>
    <t>Last_Updated_Date</t>
  </si>
  <si>
    <t>Data_Audit_Flag</t>
  </si>
  <si>
    <t>REC-1001</t>
  </si>
  <si>
    <t>Apex Capital Partners</t>
  </si>
  <si>
    <t>Financial Services</t>
  </si>
  <si>
    <t>Sarah Jenkins</t>
  </si>
  <si>
    <t>Completed</t>
  </si>
  <si>
    <t>REC-1002</t>
  </si>
  <si>
    <t>BioGenix Therapeutics</t>
  </si>
  <si>
    <t>Healthcare &amp; Biotech</t>
  </si>
  <si>
    <t>Marcus Vance</t>
  </si>
  <si>
    <t>In Review</t>
  </si>
  <si>
    <t>REC-1003</t>
  </si>
  <si>
    <t>Starlight Energy Corp</t>
  </si>
  <si>
    <t>Clean Energy &amp; Utilities</t>
  </si>
  <si>
    <t>Elena Rostova</t>
  </si>
  <si>
    <t>REC-1004</t>
  </si>
  <si>
    <t>NovaTech AI Systems</t>
  </si>
  <si>
    <t>Technology &amp; AI</t>
  </si>
  <si>
    <t>Tariq Al-Mansoor</t>
  </si>
  <si>
    <t>Drafting</t>
  </si>
  <si>
    <t>REC-1005</t>
  </si>
  <si>
    <t>Vanguard Logistics</t>
  </si>
  <si>
    <t>Industrial &amp; Supply Chain</t>
  </si>
  <si>
    <t>Chloe Dubois</t>
  </si>
  <si>
    <t>REC-1006</t>
  </si>
  <si>
    <t>Meridian Retail Group</t>
  </si>
  <si>
    <t>Consumer &amp; Retail</t>
  </si>
  <si>
    <t>Liam O'Connor</t>
  </si>
  <si>
    <t>REC-1007</t>
  </si>
  <si>
    <t>Solaria Mining Ltd</t>
  </si>
  <si>
    <t>Commodities &amp; Mining</t>
  </si>
  <si>
    <t>Priya Patel</t>
  </si>
  <si>
    <t>REC-1008</t>
  </si>
  <si>
    <t>AeroDynamics Global</t>
  </si>
  <si>
    <t>David Kim</t>
  </si>
  <si>
    <t>REC-1009</t>
  </si>
  <si>
    <t>Pinnacle Real Estate</t>
  </si>
  <si>
    <t>Real Estate &amp; REITs</t>
  </si>
  <si>
    <t>REC-1010</t>
  </si>
  <si>
    <t>Quantum CyberSec</t>
  </si>
  <si>
    <t>REC-1011</t>
  </si>
  <si>
    <t>Horizon Pharma</t>
  </si>
  <si>
    <t>REC-1012</t>
  </si>
  <si>
    <t>Atlas Global Shipping</t>
  </si>
  <si>
    <t>REC-1013</t>
  </si>
  <si>
    <t>Zenith Microelectronics</t>
  </si>
  <si>
    <t>REC-1014</t>
  </si>
  <si>
    <t>BlueWave Marine Tech</t>
  </si>
  <si>
    <t>Maritime &amp; Shipping</t>
  </si>
  <si>
    <t>REC-1015</t>
  </si>
  <si>
    <t>Oasis Agriculture Inc</t>
  </si>
  <si>
    <t>Consumer &amp; Agriculture</t>
  </si>
  <si>
    <t>REC-1016</t>
  </si>
  <si>
    <t>Summit Asset Management</t>
  </si>
  <si>
    <t>REC-1017</t>
  </si>
  <si>
    <t>Aether Wind Power</t>
  </si>
  <si>
    <t>REC-1018</t>
  </si>
  <si>
    <t>Hyperion Defense Systems</t>
  </si>
  <si>
    <t>Aerospace &amp; Defense</t>
  </si>
  <si>
    <t>REC-1019</t>
  </si>
  <si>
    <t>Crestview Healthcare</t>
  </si>
  <si>
    <t>REC-1020</t>
  </si>
  <si>
    <t>OmniCloud Solutions</t>
  </si>
  <si>
    <t>REC-1021</t>
  </si>
  <si>
    <t>Urban Transit Group</t>
  </si>
  <si>
    <t>Industrial &amp; Transport</t>
  </si>
  <si>
    <t>REC-1022</t>
  </si>
  <si>
    <t>Silverline Metallurgy</t>
  </si>
  <si>
    <t>REC-1023</t>
  </si>
  <si>
    <t>Beacon Wealth Advisory</t>
  </si>
  <si>
    <t>REC-1024</t>
  </si>
  <si>
    <t>Verdant Biofuels</t>
  </si>
  <si>
    <t>REC-1025</t>
  </si>
  <si>
    <t>Krypton Robotics</t>
  </si>
  <si>
    <t>REC-1026</t>
  </si>
  <si>
    <t>Lumina Optics</t>
  </si>
  <si>
    <t>Industrial &amp; Manufacturing</t>
  </si>
  <si>
    <t>REC-1027</t>
  </si>
  <si>
    <t>Cascade Retail Ventures</t>
  </si>
  <si>
    <t>REC-1028</t>
  </si>
  <si>
    <t>Nexis Diagnostic Labs</t>
  </si>
  <si>
    <t>REC-1029</t>
  </si>
  <si>
    <t>Equinox Renewable Infra</t>
  </si>
  <si>
    <t>REC-1030</t>
  </si>
  <si>
    <t>Titan Heavy Machinery</t>
  </si>
  <si>
    <t>Industrial &amp; Heavy Equipment</t>
  </si>
  <si>
    <t>Analyst_Name</t>
  </si>
  <si>
    <t>Assigned_Sector</t>
  </si>
  <si>
    <t>Weekly_Target_Reports</t>
  </si>
  <si>
    <t>Submitted_Reports</t>
  </si>
  <si>
    <t>On_Time_Reports</t>
  </si>
  <si>
    <t>Outstanding_Follow_Ups</t>
  </si>
  <si>
    <t>KPI_Compliance_%</t>
  </si>
  <si>
    <t>Follow_Up_Status</t>
  </si>
  <si>
    <t>Industrial &amp; Logistics</t>
  </si>
  <si>
    <t>Aerospace &amp; Tech</t>
  </si>
  <si>
    <t>D01</t>
  </si>
  <si>
    <t>DO2</t>
  </si>
  <si>
    <t>DO3</t>
  </si>
  <si>
    <t>DO4</t>
  </si>
  <si>
    <t>DO5</t>
  </si>
  <si>
    <t>DO6</t>
  </si>
  <si>
    <t>DO7</t>
  </si>
  <si>
    <t>DO8</t>
  </si>
  <si>
    <t>DO9</t>
  </si>
  <si>
    <t>DO10</t>
  </si>
  <si>
    <t>DO11</t>
  </si>
  <si>
    <t>DO12</t>
  </si>
  <si>
    <t>DO13</t>
  </si>
  <si>
    <t>DO14</t>
  </si>
  <si>
    <t>DO15</t>
  </si>
  <si>
    <t>DO16</t>
  </si>
  <si>
    <t>DO17</t>
  </si>
  <si>
    <t>DO18</t>
  </si>
  <si>
    <t>DO19</t>
  </si>
  <si>
    <t>DO20</t>
  </si>
  <si>
    <t>Total_Present</t>
  </si>
  <si>
    <t>Attendance_Rate_%</t>
  </si>
  <si>
    <t>Status</t>
  </si>
  <si>
    <t>P</t>
  </si>
  <si>
    <t>L</t>
  </si>
  <si>
    <t>A</t>
  </si>
  <si>
    <t>Executive Overview • CRM Data Integrity • Analyst Deliverables • Department Attendance</t>
  </si>
  <si>
    <t>CRM DATA ACCURACY RATE</t>
  </si>
  <si>
    <t>28 / 30 Records Clean (Target: ≥90%)</t>
  </si>
  <si>
    <t>ANALYST ON-TIME DELIVERY RATE</t>
  </si>
  <si>
    <t>23 / 26 Deliveries on Schedule</t>
  </si>
  <si>
    <t>DEPARTMENT ATTENDANCE RATE</t>
  </si>
  <si>
    <t>20-Day Active Register (Target: ≥95%)</t>
  </si>
  <si>
    <t>ACTIVE ANALYST PERFORMANCE BENCHMARKS</t>
  </si>
  <si>
    <t>Analyst Name</t>
  </si>
  <si>
    <t>Sector</t>
  </si>
  <si>
    <t>Target</t>
  </si>
  <si>
    <t>Submitted</t>
  </si>
  <si>
    <t>On Time</t>
  </si>
  <si>
    <t>KPI %</t>
  </si>
  <si>
    <t>Operational Status</t>
  </si>
  <si>
    <t>UNRESOLVED CRM DISCREPANCIES (AUDIT FLAG: ACTION REQUIRED)</t>
  </si>
  <si>
    <t>Record ID</t>
  </si>
  <si>
    <t>Client Name</t>
  </si>
  <si>
    <t>Assigned Analyst</t>
  </si>
  <si>
    <t>Report Status</t>
  </si>
  <si>
    <t>Last Updated Date</t>
  </si>
  <si>
    <t>Audit Flag</t>
  </si>
  <si>
    <t>⚡MARKET ANALYST OPERATIONS &amp; KPI AUDIT 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</si>
</sst>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Inter"/>
    </font>
    <font>
      <b/>
      <sz val="11"/>
      <color theme="0"/>
      <name val="Inter"/>
    </font>
    <font>
      <sz val="8"/>
      <name val="Calibri"/>
      <family val="2"/>
      <scheme val="minor"/>
    </font>
    <font>
      <b/>
      <sz val="11"/>
      <color rgb="FF002060"/>
      <name val="Segoe UI"/>
      <family val="2"/>
    </font>
    <font>
      <b/>
      <sz val="16"/>
      <color theme="0"/>
      <name val="Segoe UI"/>
      <family val="2"/>
    </font>
    <font>
      <sz val="11"/>
      <color theme="1"/>
      <name val="Segoe UI"/>
      <family val="2"/>
    </font>
    <font>
      <b/>
      <sz val="9"/>
      <color theme="1" tint="0.34998626667073579"/>
      <name val="Segoe UI"/>
      <family val="2"/>
    </font>
    <font>
      <b/>
      <sz val="9"/>
      <color theme="1"/>
      <name val="Segoe UI"/>
      <family val="2"/>
    </font>
    <font>
      <b/>
      <sz val="22"/>
      <color rgb="FF002060"/>
      <name val="Segoe UI"/>
      <family val="2"/>
    </font>
    <font>
      <i/>
      <sz val="11"/>
      <color theme="1" tint="0.34998626667073579"/>
      <name val="Segoe UI"/>
      <family val="2"/>
    </font>
    <font>
      <i/>
      <sz val="9"/>
      <color theme="1" tint="0.34998626667073579"/>
      <name val="Segoe UI"/>
      <family val="2"/>
    </font>
    <font>
      <b/>
      <sz val="11"/>
      <color theme="0"/>
      <name val="Segoe UI"/>
      <family val="2"/>
    </font>
    <font>
      <b/>
      <sz val="11"/>
      <color theme="1"/>
      <name val="Segoe UI"/>
      <family val="2"/>
    </font>
    <font>
      <b/>
      <sz val="11"/>
      <color rgb="FFC00000"/>
      <name val="Segoe UI"/>
      <family val="2"/>
    </font>
    <font>
      <b/>
      <sz val="10"/>
      <color theme="0"/>
      <name val="Segoe UI"/>
      <family val="2"/>
    </font>
    <font>
      <b/>
      <i/>
      <sz val="8"/>
      <color theme="0"/>
      <name val="Segoe UI"/>
      <family val="2"/>
    </font>
    <font>
      <b/>
      <i/>
      <sz val="8"/>
      <color rgb="FF00206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7C80"/>
        <bgColor indexed="64"/>
      </patternFill>
    </fill>
  </fills>
  <borders count="3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 style="medium">
        <color rgb="FF002060"/>
      </left>
      <right/>
      <top/>
      <bottom/>
      <diagonal/>
    </border>
    <border>
      <left/>
      <right style="medium">
        <color rgb="FF002060"/>
      </right>
      <top/>
      <bottom/>
      <diagonal/>
    </border>
    <border>
      <left style="medium">
        <color rgb="FF002060"/>
      </left>
      <right/>
      <top/>
      <bottom style="medium">
        <color rgb="FF002060"/>
      </bottom>
      <diagonal/>
    </border>
    <border>
      <left/>
      <right style="medium">
        <color rgb="FF002060"/>
      </right>
      <top/>
      <bottom style="medium">
        <color rgb="FF002060"/>
      </bottom>
      <diagonal/>
    </border>
    <border>
      <left style="medium">
        <color rgb="FF002060"/>
      </left>
      <right/>
      <top style="medium">
        <color rgb="FF002060"/>
      </top>
      <bottom style="thin">
        <color rgb="FFD9D9D9"/>
      </bottom>
      <diagonal/>
    </border>
    <border>
      <left/>
      <right style="medium">
        <color rgb="FF002060"/>
      </right>
      <top style="medium">
        <color rgb="FF002060"/>
      </top>
      <bottom style="thin">
        <color rgb="FFD9D9D9"/>
      </bottom>
      <diagonal/>
    </border>
    <border>
      <left style="medium">
        <color rgb="FF002060"/>
      </left>
      <right style="medium">
        <color rgb="FF002060"/>
      </right>
      <top/>
      <bottom/>
      <diagonal/>
    </border>
    <border>
      <left style="medium">
        <color rgb="FF002060"/>
      </left>
      <right/>
      <top style="medium">
        <color rgb="FF002060"/>
      </top>
      <bottom style="medium">
        <color rgb="FF002060"/>
      </bottom>
      <diagonal/>
    </border>
    <border>
      <left/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/>
      <right/>
      <top style="medium">
        <color rgb="FF002060"/>
      </top>
      <bottom style="thin">
        <color rgb="FFD9D9D9"/>
      </bottom>
      <diagonal/>
    </border>
    <border>
      <left style="medium">
        <color rgb="FF002060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rgb="FF002060"/>
      </right>
      <top style="thin">
        <color rgb="FFD9D9D9"/>
      </top>
      <bottom style="thin">
        <color rgb="FFD9D9D9"/>
      </bottom>
      <diagonal/>
    </border>
    <border>
      <left style="medium">
        <color rgb="FF002060"/>
      </left>
      <right style="thin">
        <color rgb="FFD9D9D9"/>
      </right>
      <top style="thin">
        <color rgb="FFD9D9D9"/>
      </top>
      <bottom style="medium">
        <color rgb="FF0020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002060"/>
      </bottom>
      <diagonal/>
    </border>
    <border>
      <left style="thin">
        <color rgb="FFD9D9D9"/>
      </left>
      <right style="medium">
        <color rgb="FF002060"/>
      </right>
      <top style="thin">
        <color rgb="FFD9D9D9"/>
      </top>
      <bottom style="medium">
        <color rgb="FF002060"/>
      </bottom>
      <diagonal/>
    </border>
    <border>
      <left/>
      <right/>
      <top/>
      <bottom style="medium">
        <color rgb="FF002060"/>
      </bottom>
      <diagonal/>
    </border>
    <border>
      <left style="medium">
        <color rgb="FF002060"/>
      </left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 style="medium">
        <color rgb="FF002060"/>
      </right>
      <top style="thin">
        <color rgb="FF002060"/>
      </top>
      <bottom style="medium">
        <color rgb="FF002060"/>
      </bottom>
      <diagonal/>
    </border>
    <border>
      <left style="medium">
        <color rgb="FFC00000"/>
      </left>
      <right/>
      <top style="medium">
        <color rgb="FFC00000"/>
      </top>
      <bottom style="thin">
        <color rgb="FFD9D9D9"/>
      </bottom>
      <diagonal/>
    </border>
    <border>
      <left/>
      <right/>
      <top style="medium">
        <color rgb="FFC00000"/>
      </top>
      <bottom style="thin">
        <color rgb="FFD9D9D9"/>
      </bottom>
      <diagonal/>
    </border>
    <border>
      <left/>
      <right style="medium">
        <color rgb="FFC00000"/>
      </right>
      <top style="medium">
        <color rgb="FFC00000"/>
      </top>
      <bottom style="thin">
        <color rgb="FFD9D9D9"/>
      </bottom>
      <diagonal/>
    </border>
    <border>
      <left style="medium">
        <color rgb="FFC00000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rgb="FFC00000"/>
      </right>
      <top style="thin">
        <color rgb="FFD9D9D9"/>
      </top>
      <bottom style="thin">
        <color rgb="FFD9D9D9"/>
      </bottom>
      <diagonal/>
    </border>
    <border>
      <left style="medium">
        <color rgb="FFC00000"/>
      </left>
      <right style="thin">
        <color rgb="FFD9D9D9"/>
      </right>
      <top style="thin">
        <color rgb="FFD9D9D9"/>
      </top>
      <bottom style="medium">
        <color rgb="FFC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C00000"/>
      </bottom>
      <diagonal/>
    </border>
    <border>
      <left style="thin">
        <color rgb="FFD9D9D9"/>
      </left>
      <right style="medium">
        <color rgb="FFC00000"/>
      </right>
      <top style="thin">
        <color rgb="FFD9D9D9"/>
      </top>
      <bottom style="medium">
        <color rgb="FFC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14" fontId="2" fillId="0" borderId="1" xfId="0" applyNumberFormat="1" applyFont="1" applyBorder="1"/>
    <xf numFmtId="9" fontId="3" fillId="2" borderId="1" xfId="1" applyFont="1" applyFill="1" applyBorder="1" applyAlignment="1">
      <alignment horizontal="center" vertical="center"/>
    </xf>
    <xf numFmtId="9" fontId="2" fillId="0" borderId="1" xfId="1" applyFont="1" applyBorder="1"/>
    <xf numFmtId="0" fontId="5" fillId="3" borderId="3" xfId="0" applyFont="1" applyFill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/>
    </xf>
    <xf numFmtId="0" fontId="6" fillId="4" borderId="27" xfId="0" applyFont="1" applyFill="1" applyBorder="1" applyAlignment="1">
      <alignment horizontal="center" vertical="center"/>
    </xf>
    <xf numFmtId="0" fontId="6" fillId="4" borderId="28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9" fontId="10" fillId="0" borderId="9" xfId="1" applyFont="1" applyBorder="1" applyAlignment="1">
      <alignment horizontal="center"/>
    </xf>
    <xf numFmtId="9" fontId="10" fillId="0" borderId="10" xfId="1" applyFont="1" applyBorder="1" applyAlignment="1">
      <alignment horizontal="center"/>
    </xf>
    <xf numFmtId="9" fontId="10" fillId="0" borderId="15" xfId="1" applyFont="1" applyBorder="1" applyAlignment="1">
      <alignment horizontal="center"/>
    </xf>
    <xf numFmtId="0" fontId="13" fillId="4" borderId="20" xfId="0" applyFont="1" applyFill="1" applyBorder="1"/>
    <xf numFmtId="0" fontId="13" fillId="4" borderId="1" xfId="0" applyFont="1" applyFill="1" applyBorder="1"/>
    <xf numFmtId="0" fontId="13" fillId="4" borderId="21" xfId="0" applyFont="1" applyFill="1" applyBorder="1"/>
    <xf numFmtId="0" fontId="14" fillId="0" borderId="21" xfId="0" applyFont="1" applyBorder="1"/>
    <xf numFmtId="0" fontId="14" fillId="0" borderId="24" xfId="0" applyFont="1" applyBorder="1"/>
    <xf numFmtId="0" fontId="13" fillId="5" borderId="32" xfId="0" applyFont="1" applyFill="1" applyBorder="1"/>
    <xf numFmtId="0" fontId="13" fillId="5" borderId="1" xfId="0" applyFont="1" applyFill="1" applyBorder="1"/>
    <xf numFmtId="0" fontId="13" fillId="5" borderId="33" xfId="0" applyFont="1" applyFill="1" applyBorder="1"/>
    <xf numFmtId="0" fontId="15" fillId="6" borderId="33" xfId="0" applyFont="1" applyFill="1" applyBorder="1"/>
    <xf numFmtId="0" fontId="15" fillId="6" borderId="36" xfId="0" applyFont="1" applyFill="1" applyBorder="1"/>
    <xf numFmtId="0" fontId="16" fillId="4" borderId="16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8" xfId="0" applyFont="1" applyFill="1" applyBorder="1" applyAlignment="1">
      <alignment horizontal="center"/>
    </xf>
    <xf numFmtId="0" fontId="17" fillId="4" borderId="8" xfId="0" applyFont="1" applyFill="1" applyBorder="1" applyAlignment="1">
      <alignment horizontal="center"/>
    </xf>
    <xf numFmtId="0" fontId="17" fillId="4" borderId="16" xfId="0" applyFont="1" applyFill="1" applyBorder="1" applyAlignment="1">
      <alignment horizontal="center"/>
    </xf>
    <xf numFmtId="0" fontId="17" fillId="4" borderId="17" xfId="0" applyFont="1" applyFill="1" applyBorder="1" applyAlignment="1">
      <alignment horizontal="center"/>
    </xf>
    <xf numFmtId="0" fontId="18" fillId="3" borderId="11" xfId="0" applyFont="1" applyFill="1" applyBorder="1" applyAlignment="1">
      <alignment horizontal="center" vertical="center"/>
    </xf>
    <xf numFmtId="0" fontId="18" fillId="3" borderId="25" xfId="0" applyFont="1" applyFill="1" applyBorder="1" applyAlignment="1">
      <alignment horizontal="center" vertical="center"/>
    </xf>
    <xf numFmtId="0" fontId="18" fillId="3" borderId="12" xfId="0" applyFont="1" applyFill="1" applyBorder="1" applyAlignment="1">
      <alignment horizontal="center" vertical="center"/>
    </xf>
    <xf numFmtId="0" fontId="7" fillId="3" borderId="1" xfId="0" applyFont="1" applyFill="1" applyBorder="1"/>
    <xf numFmtId="0" fontId="7" fillId="3" borderId="4" xfId="0" applyFont="1" applyFill="1" applyBorder="1"/>
    <xf numFmtId="0" fontId="7" fillId="3" borderId="2" xfId="0" applyFont="1" applyFill="1" applyBorder="1"/>
    <xf numFmtId="0" fontId="7" fillId="3" borderId="3" xfId="0" applyFont="1" applyFill="1" applyBorder="1"/>
    <xf numFmtId="0" fontId="7" fillId="3" borderId="34" xfId="0" applyFont="1" applyFill="1" applyBorder="1"/>
    <xf numFmtId="0" fontId="7" fillId="3" borderId="35" xfId="0" applyFont="1" applyFill="1" applyBorder="1"/>
    <xf numFmtId="0" fontId="7" fillId="3" borderId="32" xfId="0" applyFont="1" applyFill="1" applyBorder="1"/>
    <xf numFmtId="14" fontId="7" fillId="3" borderId="1" xfId="0" applyNumberFormat="1" applyFont="1" applyFill="1" applyBorder="1"/>
    <xf numFmtId="0" fontId="7" fillId="3" borderId="18" xfId="0" applyFont="1" applyFill="1" applyBorder="1"/>
    <xf numFmtId="0" fontId="15" fillId="3" borderId="29" xfId="0" applyFont="1" applyFill="1" applyBorder="1" applyAlignment="1">
      <alignment horizontal="center"/>
    </xf>
    <xf numFmtId="0" fontId="15" fillId="3" borderId="30" xfId="0" applyFont="1" applyFill="1" applyBorder="1" applyAlignment="1">
      <alignment horizontal="center"/>
    </xf>
    <xf numFmtId="0" fontId="15" fillId="3" borderId="31" xfId="0" applyFont="1" applyFill="1" applyBorder="1" applyAlignment="1">
      <alignment horizontal="center"/>
    </xf>
    <xf numFmtId="0" fontId="7" fillId="3" borderId="22" xfId="0" applyFont="1" applyFill="1" applyBorder="1"/>
    <xf numFmtId="0" fontId="7" fillId="3" borderId="23" xfId="0" applyFont="1" applyFill="1" applyBorder="1"/>
    <xf numFmtId="9" fontId="14" fillId="3" borderId="23" xfId="0" applyNumberFormat="1" applyFont="1" applyFill="1" applyBorder="1"/>
    <xf numFmtId="0" fontId="7" fillId="3" borderId="20" xfId="0" applyFont="1" applyFill="1" applyBorder="1"/>
    <xf numFmtId="9" fontId="14" fillId="3" borderId="1" xfId="0" applyNumberFormat="1" applyFont="1" applyFill="1" applyBorder="1"/>
    <xf numFmtId="0" fontId="5" fillId="3" borderId="13" xfId="0" applyFont="1" applyFill="1" applyBorder="1" applyAlignment="1">
      <alignment horizontal="center"/>
    </xf>
    <xf numFmtId="0" fontId="5" fillId="3" borderId="19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0" fontId="7" fillId="3" borderId="7" xfId="0" applyFont="1" applyFill="1" applyBorder="1"/>
    <xf numFmtId="0" fontId="12" fillId="3" borderId="0" xfId="0" applyFont="1" applyFill="1" applyBorder="1" applyAlignment="1">
      <alignment horizontal="center"/>
    </xf>
    <xf numFmtId="0" fontId="11" fillId="3" borderId="0" xfId="0" applyFont="1" applyFill="1" applyBorder="1" applyAlignment="1">
      <alignment horizontal="center"/>
    </xf>
    <xf numFmtId="9" fontId="10" fillId="3" borderId="0" xfId="1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9" fillId="3" borderId="0" xfId="0" applyFont="1" applyFill="1" applyBorder="1" applyAlignment="1">
      <alignment horizontal="center"/>
    </xf>
    <xf numFmtId="0" fontId="7" fillId="3" borderId="5" xfId="0" applyFont="1" applyFill="1" applyBorder="1"/>
    <xf numFmtId="0" fontId="7" fillId="3" borderId="5" xfId="0" applyFont="1" applyFill="1" applyBorder="1" applyAlignment="1">
      <alignment horizontal="center"/>
    </xf>
    <xf numFmtId="0" fontId="7" fillId="3" borderId="6" xfId="0" applyFont="1" applyFill="1" applyBorder="1" applyAlignment="1"/>
    <xf numFmtId="0" fontId="7" fillId="3" borderId="25" xfId="0" applyFont="1" applyFill="1" applyBorder="1" applyAlignment="1"/>
    <xf numFmtId="0" fontId="7" fillId="3" borderId="15" xfId="0" applyFont="1" applyFill="1" applyBorder="1" applyAlignment="1"/>
  </cellXfs>
  <cellStyles count="2">
    <cellStyle name="Normal" xfId="0" builtinId="0"/>
    <cellStyle name="Percent" xfId="1" builtinId="5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9FBFD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9FBFD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9FBFD"/>
        </patternFill>
      </fill>
    </dxf>
  </dxfs>
  <tableStyles count="0" defaultTableStyle="TableStyleMedium2" defaultPivotStyle="PivotStyleLight16"/>
  <colors>
    <mruColors>
      <color rgb="FFF8FAFC"/>
      <color rgb="FFFF7C80"/>
      <color rgb="FF1F4E78"/>
      <color rgb="FFD9D9D9"/>
      <color rgb="FFF9FB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1" i="0" u="none" strike="noStrike" baseline="0">
                <a:solidFill>
                  <a:srgbClr val="002060"/>
                </a:solidFill>
                <a:effectLst/>
                <a:latin typeface="Segoe UI" panose="020B0502040204020203" pitchFamily="34" charset="0"/>
                <a:ea typeface="Inter" panose="02000503000000020004" pitchFamily="2" charset="0"/>
                <a:cs typeface="Segoe UI" panose="020B0502040204020203" pitchFamily="34" charset="0"/>
              </a:rPr>
              <a:t>Analyst Submissions vs Targets</a:t>
            </a:r>
            <a:endParaRPr lang="en-ZA">
              <a:solidFill>
                <a:srgbClr val="002060"/>
              </a:solidFill>
              <a:latin typeface="Segoe UI" panose="020B0502040204020203" pitchFamily="34" charset="0"/>
              <a:ea typeface="Inter" panose="02000503000000020004" pitchFamily="2" charset="0"/>
              <a:cs typeface="Segoe UI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Analyst_KPI_Tracker!$C$1</c:f>
              <c:strCache>
                <c:ptCount val="1"/>
                <c:pt idx="0">
                  <c:v>Weekly_Target_Reports</c:v>
                </c:pt>
              </c:strCache>
            </c:strRef>
          </c:tx>
          <c:spPr>
            <a:solidFill>
              <a:schemeClr val="accent1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Analyst_KPI_Tracker!$A$2:$A$9</c:f>
              <c:strCache>
                <c:ptCount val="8"/>
                <c:pt idx="0">
                  <c:v>Sarah Jenkins</c:v>
                </c:pt>
                <c:pt idx="1">
                  <c:v>Marcus Vance</c:v>
                </c:pt>
                <c:pt idx="2">
                  <c:v>Elena Rostova</c:v>
                </c:pt>
                <c:pt idx="3">
                  <c:v>Tariq Al-Mansoor</c:v>
                </c:pt>
                <c:pt idx="4">
                  <c:v>Chloe Dubois</c:v>
                </c:pt>
                <c:pt idx="5">
                  <c:v>Liam O'Connor</c:v>
                </c:pt>
                <c:pt idx="6">
                  <c:v>Priya Patel</c:v>
                </c:pt>
                <c:pt idx="7">
                  <c:v>David Kim</c:v>
                </c:pt>
              </c:strCache>
            </c:strRef>
          </c:cat>
          <c:val>
            <c:numRef>
              <c:f>Analyst_KPI_Tracker!$C$2:$C$9</c:f>
              <c:numCache>
                <c:formatCode>General</c:formatCode>
                <c:ptCount val="8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F5-4293-8A81-C6A2090CF991}"/>
            </c:ext>
          </c:extLst>
        </c:ser>
        <c:ser>
          <c:idx val="1"/>
          <c:order val="1"/>
          <c:tx>
            <c:strRef>
              <c:f>Analyst_KPI_Tracker!$D$1</c:f>
              <c:strCache>
                <c:ptCount val="1"/>
                <c:pt idx="0">
                  <c:v>Submitted_Reports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Analyst_KPI_Tracker!$A$2:$A$9</c:f>
              <c:strCache>
                <c:ptCount val="8"/>
                <c:pt idx="0">
                  <c:v>Sarah Jenkins</c:v>
                </c:pt>
                <c:pt idx="1">
                  <c:v>Marcus Vance</c:v>
                </c:pt>
                <c:pt idx="2">
                  <c:v>Elena Rostova</c:v>
                </c:pt>
                <c:pt idx="3">
                  <c:v>Tariq Al-Mansoor</c:v>
                </c:pt>
                <c:pt idx="4">
                  <c:v>Chloe Dubois</c:v>
                </c:pt>
                <c:pt idx="5">
                  <c:v>Liam O'Connor</c:v>
                </c:pt>
                <c:pt idx="6">
                  <c:v>Priya Patel</c:v>
                </c:pt>
                <c:pt idx="7">
                  <c:v>David Kim</c:v>
                </c:pt>
              </c:strCache>
            </c:strRef>
          </c:cat>
          <c:val>
            <c:numRef>
              <c:f>Analyst_KPI_Tracker!$D$2:$D$9</c:f>
              <c:numCache>
                <c:formatCode>General</c:formatCode>
                <c:ptCount val="8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5</c:v>
                </c:pt>
                <c:pt idx="4">
                  <c:v>4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F5-4293-8A81-C6A2090CF991}"/>
            </c:ext>
          </c:extLst>
        </c:ser>
        <c:ser>
          <c:idx val="2"/>
          <c:order val="2"/>
          <c:tx>
            <c:strRef>
              <c:f>Analyst_KPI_Tracker!$E$1</c:f>
              <c:strCache>
                <c:ptCount val="1"/>
                <c:pt idx="0">
                  <c:v>On_Time_Reports</c:v>
                </c:pt>
              </c:strCache>
            </c:strRef>
          </c:tx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Analyst_KPI_Tracker!$A$2:$A$9</c:f>
              <c:strCache>
                <c:ptCount val="8"/>
                <c:pt idx="0">
                  <c:v>Sarah Jenkins</c:v>
                </c:pt>
                <c:pt idx="1">
                  <c:v>Marcus Vance</c:v>
                </c:pt>
                <c:pt idx="2">
                  <c:v>Elena Rostova</c:v>
                </c:pt>
                <c:pt idx="3">
                  <c:v>Tariq Al-Mansoor</c:v>
                </c:pt>
                <c:pt idx="4">
                  <c:v>Chloe Dubois</c:v>
                </c:pt>
                <c:pt idx="5">
                  <c:v>Liam O'Connor</c:v>
                </c:pt>
                <c:pt idx="6">
                  <c:v>Priya Patel</c:v>
                </c:pt>
                <c:pt idx="7">
                  <c:v>David Kim</c:v>
                </c:pt>
              </c:strCache>
            </c:strRef>
          </c:cat>
          <c:val>
            <c:numRef>
              <c:f>Analyst_KPI_Tracker!$E$2:$E$9</c:f>
              <c:numCache>
                <c:formatCode>General</c:formatCode>
                <c:ptCount val="8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F5-4293-8A81-C6A2090CF9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0062127"/>
        <c:axId val="1258536527"/>
      </c:barChart>
      <c:catAx>
        <c:axId val="1480062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536527"/>
        <c:crosses val="autoZero"/>
        <c:auto val="1"/>
        <c:lblAlgn val="ctr"/>
        <c:lblOffset val="100"/>
        <c:noMultiLvlLbl val="0"/>
      </c:catAx>
      <c:valAx>
        <c:axId val="12585365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062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1" i="0" u="none" strike="noStrike" baseline="0">
                <a:effectLst/>
              </a:rPr>
              <a:t>Analyst Submissions vs Targets</a:t>
            </a:r>
            <a:endParaRPr lang="en-ZA"/>
          </a:p>
        </c:rich>
      </c:tx>
      <c:layout>
        <c:manualLayout>
          <c:xMode val="edge"/>
          <c:yMode val="edge"/>
          <c:x val="0.23607633420822396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Analyst_KPI_Tracker!$C$1</c:f>
              <c:strCache>
                <c:ptCount val="1"/>
                <c:pt idx="0">
                  <c:v>Weekly_Target_Reports</c:v>
                </c:pt>
              </c:strCache>
            </c:strRef>
          </c:tx>
          <c:spPr>
            <a:solidFill>
              <a:schemeClr val="accent1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Analyst_KPI_Tracker!$A$2:$A$9</c:f>
              <c:strCache>
                <c:ptCount val="8"/>
                <c:pt idx="0">
                  <c:v>Sarah Jenkins</c:v>
                </c:pt>
                <c:pt idx="1">
                  <c:v>Marcus Vance</c:v>
                </c:pt>
                <c:pt idx="2">
                  <c:v>Elena Rostova</c:v>
                </c:pt>
                <c:pt idx="3">
                  <c:v>Tariq Al-Mansoor</c:v>
                </c:pt>
                <c:pt idx="4">
                  <c:v>Chloe Dubois</c:v>
                </c:pt>
                <c:pt idx="5">
                  <c:v>Liam O'Connor</c:v>
                </c:pt>
                <c:pt idx="6">
                  <c:v>Priya Patel</c:v>
                </c:pt>
                <c:pt idx="7">
                  <c:v>David Kim</c:v>
                </c:pt>
              </c:strCache>
            </c:strRef>
          </c:cat>
          <c:val>
            <c:numRef>
              <c:f>Analyst_KPI_Tracker!$C$2:$C$9</c:f>
              <c:numCache>
                <c:formatCode>General</c:formatCode>
                <c:ptCount val="8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C2-4AB5-9F8C-4D40A4A39113}"/>
            </c:ext>
          </c:extLst>
        </c:ser>
        <c:ser>
          <c:idx val="1"/>
          <c:order val="1"/>
          <c:tx>
            <c:strRef>
              <c:f>Analyst_KPI_Tracker!$D$1</c:f>
              <c:strCache>
                <c:ptCount val="1"/>
                <c:pt idx="0">
                  <c:v>Submitted_Reports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Analyst_KPI_Tracker!$A$2:$A$9</c:f>
              <c:strCache>
                <c:ptCount val="8"/>
                <c:pt idx="0">
                  <c:v>Sarah Jenkins</c:v>
                </c:pt>
                <c:pt idx="1">
                  <c:v>Marcus Vance</c:v>
                </c:pt>
                <c:pt idx="2">
                  <c:v>Elena Rostova</c:v>
                </c:pt>
                <c:pt idx="3">
                  <c:v>Tariq Al-Mansoor</c:v>
                </c:pt>
                <c:pt idx="4">
                  <c:v>Chloe Dubois</c:v>
                </c:pt>
                <c:pt idx="5">
                  <c:v>Liam O'Connor</c:v>
                </c:pt>
                <c:pt idx="6">
                  <c:v>Priya Patel</c:v>
                </c:pt>
                <c:pt idx="7">
                  <c:v>David Kim</c:v>
                </c:pt>
              </c:strCache>
            </c:strRef>
          </c:cat>
          <c:val>
            <c:numRef>
              <c:f>Analyst_KPI_Tracker!$D$2:$D$9</c:f>
              <c:numCache>
                <c:formatCode>General</c:formatCode>
                <c:ptCount val="8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5</c:v>
                </c:pt>
                <c:pt idx="4">
                  <c:v>4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C2-4AB5-9F8C-4D40A4A39113}"/>
            </c:ext>
          </c:extLst>
        </c:ser>
        <c:ser>
          <c:idx val="2"/>
          <c:order val="2"/>
          <c:tx>
            <c:strRef>
              <c:f>Analyst_KPI_Tracker!$E$1</c:f>
              <c:strCache>
                <c:ptCount val="1"/>
                <c:pt idx="0">
                  <c:v>On_Time_Reports</c:v>
                </c:pt>
              </c:strCache>
            </c:strRef>
          </c:tx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Analyst_KPI_Tracker!$A$2:$A$9</c:f>
              <c:strCache>
                <c:ptCount val="8"/>
                <c:pt idx="0">
                  <c:v>Sarah Jenkins</c:v>
                </c:pt>
                <c:pt idx="1">
                  <c:v>Marcus Vance</c:v>
                </c:pt>
                <c:pt idx="2">
                  <c:v>Elena Rostova</c:v>
                </c:pt>
                <c:pt idx="3">
                  <c:v>Tariq Al-Mansoor</c:v>
                </c:pt>
                <c:pt idx="4">
                  <c:v>Chloe Dubois</c:v>
                </c:pt>
                <c:pt idx="5">
                  <c:v>Liam O'Connor</c:v>
                </c:pt>
                <c:pt idx="6">
                  <c:v>Priya Patel</c:v>
                </c:pt>
                <c:pt idx="7">
                  <c:v>David Kim</c:v>
                </c:pt>
              </c:strCache>
            </c:strRef>
          </c:cat>
          <c:val>
            <c:numRef>
              <c:f>Analyst_KPI_Tracker!$E$2:$E$9</c:f>
              <c:numCache>
                <c:formatCode>General</c:formatCode>
                <c:ptCount val="8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C2-4AB5-9F8C-4D40A4A391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0062127"/>
        <c:axId val="1258536527"/>
      </c:barChart>
      <c:catAx>
        <c:axId val="1480062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536527"/>
        <c:crosses val="autoZero"/>
        <c:auto val="1"/>
        <c:lblAlgn val="ctr"/>
        <c:lblOffset val="100"/>
        <c:noMultiLvlLbl val="0"/>
      </c:catAx>
      <c:valAx>
        <c:axId val="125853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062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609650</xdr:colOff>
      <xdr:row>4</xdr:row>
      <xdr:rowOff>6976</xdr:rowOff>
    </xdr:from>
    <xdr:to>
      <xdr:col>16</xdr:col>
      <xdr:colOff>215835</xdr:colOff>
      <xdr:row>18</xdr:row>
      <xdr:rowOff>59420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621E22-D0EB-4FAD-8D18-C4187C584F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1619250</xdr:colOff>
      <xdr:row>11</xdr:row>
      <xdr:rowOff>128587</xdr:rowOff>
    </xdr:from>
    <xdr:to>
      <xdr:col>4</xdr:col>
      <xdr:colOff>1238250</xdr:colOff>
      <xdr:row>26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723314-3BDC-80EB-D84A-3620500C5D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AA498-18E8-4AC5-9900-217941C4DA70}">
  <sheetPr>
    <tabColor rgb="FF002060"/>
    <pageSetUpPr autoPageBreaks="0"/>
  </sheetPr>
  <dimension ref="A1:M25"/>
  <sheetViews>
    <sheetView showGridLines="0" tabSelected="1" zoomScale="68" zoomScaleNormal="68" workbookViewId="0">
      <selection activeCell="A5" sqref="A5"/>
    </sheetView>
  </sheetViews>
  <sheetFormatPr defaultRowHeight="16.5" x14ac:dyDescent="0.3"/>
  <cols>
    <col min="1" max="1" width="18.7109375" style="34" customWidth="1"/>
    <col min="2" max="2" width="22.7109375" style="34" customWidth="1"/>
    <col min="3" max="3" width="25.5703125" style="34" bestFit="1" customWidth="1"/>
    <col min="4" max="4" width="22.28515625" style="34" bestFit="1" customWidth="1"/>
    <col min="5" max="5" width="20.140625" style="34" bestFit="1" customWidth="1"/>
    <col min="6" max="7" width="14.7109375" style="34" customWidth="1"/>
    <col min="8" max="8" width="38.7109375" style="34" bestFit="1" customWidth="1"/>
    <col min="9" max="16384" width="9.140625" style="34"/>
  </cols>
  <sheetData>
    <row r="1" spans="1:13" s="11" customFormat="1" ht="26.25" thickBot="1" x14ac:dyDescent="0.3">
      <c r="A1" s="6"/>
      <c r="B1" s="7" t="s">
        <v>150</v>
      </c>
      <c r="C1" s="8"/>
      <c r="D1" s="8"/>
      <c r="E1" s="8"/>
      <c r="F1" s="8"/>
      <c r="G1" s="8"/>
      <c r="H1" s="9"/>
      <c r="I1" s="10"/>
    </row>
    <row r="2" spans="1:13" ht="17.25" thickBot="1" x14ac:dyDescent="0.35">
      <c r="A2" s="37"/>
      <c r="B2" s="31" t="s">
        <v>128</v>
      </c>
      <c r="C2" s="32"/>
      <c r="D2" s="32"/>
      <c r="E2" s="32"/>
      <c r="F2" s="32"/>
      <c r="G2" s="32"/>
      <c r="H2" s="33"/>
      <c r="I2" s="36"/>
    </row>
    <row r="3" spans="1:13" x14ac:dyDescent="0.3">
      <c r="B3" s="35"/>
      <c r="C3" s="35"/>
      <c r="D3" s="35"/>
      <c r="E3" s="35"/>
      <c r="F3" s="35"/>
      <c r="G3" s="35"/>
      <c r="H3" s="35"/>
    </row>
    <row r="4" spans="1:13" ht="17.25" thickBot="1" x14ac:dyDescent="0.35">
      <c r="B4" s="60"/>
      <c r="C4" s="60"/>
      <c r="D4" s="62"/>
      <c r="E4" s="60"/>
      <c r="F4" s="61"/>
      <c r="G4" s="60"/>
      <c r="H4" s="60"/>
      <c r="J4" s="60"/>
      <c r="K4" s="60"/>
      <c r="L4" s="60"/>
    </row>
    <row r="5" spans="1:13" ht="17.25" thickBot="1" x14ac:dyDescent="0.35">
      <c r="A5" s="37"/>
      <c r="B5" s="25" t="s">
        <v>129</v>
      </c>
      <c r="C5" s="26"/>
      <c r="D5" s="64"/>
      <c r="E5" s="25" t="s">
        <v>131</v>
      </c>
      <c r="F5" s="26"/>
      <c r="G5" s="59"/>
      <c r="H5" s="27" t="s">
        <v>133</v>
      </c>
      <c r="I5" s="54"/>
      <c r="J5" s="58"/>
      <c r="K5" s="58"/>
      <c r="L5" s="58"/>
      <c r="M5" s="36"/>
    </row>
    <row r="6" spans="1:13" ht="15" customHeight="1" x14ac:dyDescent="0.6">
      <c r="A6" s="37"/>
      <c r="B6" s="12">
        <f>COUNTIF(CRM_Audit_Log!G2:G31, "CLEAN / AUDITED") / COUNTA(CRM_Audit_Log!G2:G31)</f>
        <v>0.93333333333333335</v>
      </c>
      <c r="C6" s="13"/>
      <c r="D6" s="64"/>
      <c r="E6" s="12">
        <f>SUM(Analyst_KPI_Tracker!E2:E9) / SUM(Analyst_KPI_Tracker!D2:D9)</f>
        <v>0.8928571428571429</v>
      </c>
      <c r="F6" s="13"/>
      <c r="G6" s="57"/>
      <c r="H6" s="14">
        <f>AVERAGE(Daily_Attendance_Register!W2:W9)</f>
        <v>0.96875000000000011</v>
      </c>
      <c r="I6" s="54"/>
      <c r="J6" s="57"/>
      <c r="K6" s="57"/>
      <c r="L6" s="57"/>
      <c r="M6" s="36"/>
    </row>
    <row r="7" spans="1:13" ht="15" customHeight="1" thickBot="1" x14ac:dyDescent="0.65">
      <c r="A7" s="37"/>
      <c r="B7" s="12"/>
      <c r="C7" s="13"/>
      <c r="D7" s="64"/>
      <c r="E7" s="12"/>
      <c r="F7" s="13"/>
      <c r="G7" s="57"/>
      <c r="H7" s="14"/>
      <c r="I7" s="54"/>
      <c r="J7" s="57"/>
      <c r="K7" s="57"/>
      <c r="L7" s="57"/>
      <c r="M7" s="36"/>
    </row>
    <row r="8" spans="1:13" ht="17.25" thickBot="1" x14ac:dyDescent="0.35">
      <c r="A8" s="37"/>
      <c r="B8" s="29" t="s">
        <v>130</v>
      </c>
      <c r="C8" s="30"/>
      <c r="D8" s="64"/>
      <c r="E8" s="29" t="s">
        <v>132</v>
      </c>
      <c r="F8" s="30"/>
      <c r="G8" s="56"/>
      <c r="H8" s="28" t="s">
        <v>134</v>
      </c>
      <c r="I8" s="54"/>
      <c r="J8" s="55"/>
      <c r="K8" s="55"/>
      <c r="L8" s="55"/>
      <c r="M8" s="36"/>
    </row>
    <row r="9" spans="1:13" ht="17.25" thickBot="1" x14ac:dyDescent="0.35">
      <c r="B9" s="42"/>
      <c r="C9" s="42"/>
      <c r="D9" s="63"/>
      <c r="E9" s="42"/>
      <c r="F9" s="42"/>
      <c r="G9" s="42"/>
      <c r="H9" s="42"/>
      <c r="J9" s="35"/>
      <c r="K9" s="35"/>
      <c r="L9" s="35"/>
    </row>
    <row r="10" spans="1:13" x14ac:dyDescent="0.3">
      <c r="A10" s="37"/>
      <c r="B10" s="51" t="s">
        <v>135</v>
      </c>
      <c r="C10" s="52"/>
      <c r="D10" s="52"/>
      <c r="E10" s="52"/>
      <c r="F10" s="52"/>
      <c r="G10" s="52"/>
      <c r="H10" s="53"/>
      <c r="I10" s="36"/>
    </row>
    <row r="11" spans="1:13" x14ac:dyDescent="0.3">
      <c r="A11" s="37"/>
      <c r="B11" s="15" t="s">
        <v>136</v>
      </c>
      <c r="C11" s="16" t="s">
        <v>137</v>
      </c>
      <c r="D11" s="16" t="s">
        <v>138</v>
      </c>
      <c r="E11" s="16" t="s">
        <v>139</v>
      </c>
      <c r="F11" s="16" t="s">
        <v>140</v>
      </c>
      <c r="G11" s="16" t="s">
        <v>141</v>
      </c>
      <c r="H11" s="17" t="s">
        <v>142</v>
      </c>
      <c r="I11" s="36"/>
    </row>
    <row r="12" spans="1:13" x14ac:dyDescent="0.3">
      <c r="A12" s="37"/>
      <c r="B12" s="49" t="str">
        <f>Analyst_KPI_Tracker!A2</f>
        <v>Sarah Jenkins</v>
      </c>
      <c r="C12" s="34" t="str">
        <f>Analyst_KPI_Tracker!B2</f>
        <v>Financial Services</v>
      </c>
      <c r="D12" s="34">
        <f>Analyst_KPI_Tracker!C2</f>
        <v>4</v>
      </c>
      <c r="E12" s="34">
        <f>Analyst_KPI_Tracker!D2</f>
        <v>4</v>
      </c>
      <c r="F12" s="34">
        <f>Analyst_KPI_Tracker!E2</f>
        <v>4</v>
      </c>
      <c r="G12" s="50">
        <f>Analyst_KPI_Tracker!G2</f>
        <v>1</v>
      </c>
      <c r="H12" s="18" t="str">
        <f>Analyst_KPI_Tracker!H2</f>
        <v>COMPLIANT</v>
      </c>
      <c r="I12" s="36"/>
    </row>
    <row r="13" spans="1:13" x14ac:dyDescent="0.3">
      <c r="A13" s="37"/>
      <c r="B13" s="49" t="str">
        <f>Analyst_KPI_Tracker!A3</f>
        <v>Marcus Vance</v>
      </c>
      <c r="C13" s="34" t="str">
        <f>Analyst_KPI_Tracker!B3</f>
        <v>Healthcare &amp; Biotech</v>
      </c>
      <c r="D13" s="34">
        <f>Analyst_KPI_Tracker!C3</f>
        <v>4</v>
      </c>
      <c r="E13" s="34">
        <f>Analyst_KPI_Tracker!D3</f>
        <v>4</v>
      </c>
      <c r="F13" s="34">
        <f>Analyst_KPI_Tracker!E3</f>
        <v>3</v>
      </c>
      <c r="G13" s="50">
        <f>Analyst_KPI_Tracker!G3</f>
        <v>1</v>
      </c>
      <c r="H13" s="18" t="str">
        <f>Analyst_KPI_Tracker!H3</f>
        <v>ACTION REQUIRED: Follow-Up Sent</v>
      </c>
      <c r="I13" s="36"/>
    </row>
    <row r="14" spans="1:13" x14ac:dyDescent="0.3">
      <c r="A14" s="37"/>
      <c r="B14" s="49" t="str">
        <f>Analyst_KPI_Tracker!A4</f>
        <v>Elena Rostova</v>
      </c>
      <c r="C14" s="34" t="str">
        <f>Analyst_KPI_Tracker!B4</f>
        <v>Clean Energy &amp; Utilities</v>
      </c>
      <c r="D14" s="34">
        <f>Analyst_KPI_Tracker!C4</f>
        <v>3</v>
      </c>
      <c r="E14" s="34">
        <f>Analyst_KPI_Tracker!D4</f>
        <v>3</v>
      </c>
      <c r="F14" s="34">
        <f>Analyst_KPI_Tracker!E4</f>
        <v>3</v>
      </c>
      <c r="G14" s="50">
        <f>Analyst_KPI_Tracker!G4</f>
        <v>1</v>
      </c>
      <c r="H14" s="18" t="str">
        <f>Analyst_KPI_Tracker!H4</f>
        <v>COMPLIANT</v>
      </c>
      <c r="I14" s="36"/>
    </row>
    <row r="15" spans="1:13" x14ac:dyDescent="0.3">
      <c r="A15" s="37"/>
      <c r="B15" s="49" t="str">
        <f>Analyst_KPI_Tracker!A5</f>
        <v>Tariq Al-Mansoor</v>
      </c>
      <c r="C15" s="34" t="str">
        <f>Analyst_KPI_Tracker!B5</f>
        <v>Technology &amp; AI</v>
      </c>
      <c r="D15" s="34">
        <f>Analyst_KPI_Tracker!C5</f>
        <v>5</v>
      </c>
      <c r="E15" s="34">
        <f>Analyst_KPI_Tracker!D5</f>
        <v>5</v>
      </c>
      <c r="F15" s="34">
        <f>Analyst_KPI_Tracker!E5</f>
        <v>4</v>
      </c>
      <c r="G15" s="50">
        <f>Analyst_KPI_Tracker!G5</f>
        <v>1</v>
      </c>
      <c r="H15" s="18" t="str">
        <f>Analyst_KPI_Tracker!H5</f>
        <v>ACTION REQUIRED: Follow-Up Sent</v>
      </c>
      <c r="I15" s="36"/>
    </row>
    <row r="16" spans="1:13" x14ac:dyDescent="0.3">
      <c r="A16" s="37"/>
      <c r="B16" s="49" t="str">
        <f>Analyst_KPI_Tracker!A6</f>
        <v>Chloe Dubois</v>
      </c>
      <c r="C16" s="34" t="str">
        <f>Analyst_KPI_Tracker!B6</f>
        <v>Industrial &amp; Logistics</v>
      </c>
      <c r="D16" s="34">
        <f>Analyst_KPI_Tracker!C6</f>
        <v>4</v>
      </c>
      <c r="E16" s="34">
        <f>Analyst_KPI_Tracker!D6</f>
        <v>4</v>
      </c>
      <c r="F16" s="34">
        <f>Analyst_KPI_Tracker!E6</f>
        <v>4</v>
      </c>
      <c r="G16" s="50">
        <f>Analyst_KPI_Tracker!G6</f>
        <v>1</v>
      </c>
      <c r="H16" s="18" t="str">
        <f>Analyst_KPI_Tracker!H6</f>
        <v>COMPLIANT</v>
      </c>
      <c r="I16" s="36"/>
    </row>
    <row r="17" spans="1:9" x14ac:dyDescent="0.3">
      <c r="A17" s="37"/>
      <c r="B17" s="49" t="str">
        <f>Analyst_KPI_Tracker!A7</f>
        <v>Liam O'Connor</v>
      </c>
      <c r="C17" s="34" t="str">
        <f>Analyst_KPI_Tracker!B7</f>
        <v>Consumer &amp; Retail</v>
      </c>
      <c r="D17" s="34">
        <f>Analyst_KPI_Tracker!C7</f>
        <v>3</v>
      </c>
      <c r="E17" s="34">
        <f>Analyst_KPI_Tracker!D7</f>
        <v>2</v>
      </c>
      <c r="F17" s="34">
        <f>Analyst_KPI_Tracker!E7</f>
        <v>2</v>
      </c>
      <c r="G17" s="50">
        <f>Analyst_KPI_Tracker!G7</f>
        <v>0.66666666666666663</v>
      </c>
      <c r="H17" s="18" t="str">
        <f>Analyst_KPI_Tracker!H7</f>
        <v>ACTION REQUIRED: Follow-Up Sent</v>
      </c>
      <c r="I17" s="36"/>
    </row>
    <row r="18" spans="1:9" x14ac:dyDescent="0.3">
      <c r="A18" s="37"/>
      <c r="B18" s="49" t="str">
        <f>Analyst_KPI_Tracker!A8</f>
        <v>Priya Patel</v>
      </c>
      <c r="C18" s="34" t="str">
        <f>Analyst_KPI_Tracker!B8</f>
        <v>Commodities &amp; Mining</v>
      </c>
      <c r="D18" s="34">
        <f>Analyst_KPI_Tracker!C8</f>
        <v>3</v>
      </c>
      <c r="E18" s="34">
        <f>Analyst_KPI_Tracker!D8</f>
        <v>3</v>
      </c>
      <c r="F18" s="34">
        <f>Analyst_KPI_Tracker!E8</f>
        <v>2</v>
      </c>
      <c r="G18" s="50">
        <f>Analyst_KPI_Tracker!G8</f>
        <v>1</v>
      </c>
      <c r="H18" s="18" t="str">
        <f>Analyst_KPI_Tracker!H8</f>
        <v>ACTION REQUIRED: Follow-Up Sent</v>
      </c>
      <c r="I18" s="36"/>
    </row>
    <row r="19" spans="1:9" ht="17.25" thickBot="1" x14ac:dyDescent="0.35">
      <c r="A19" s="37"/>
      <c r="B19" s="46" t="str">
        <f>Analyst_KPI_Tracker!A9</f>
        <v>David Kim</v>
      </c>
      <c r="C19" s="47" t="str">
        <f>Analyst_KPI_Tracker!B9</f>
        <v>Aerospace &amp; Tech</v>
      </c>
      <c r="D19" s="47">
        <f>Analyst_KPI_Tracker!C9</f>
        <v>3</v>
      </c>
      <c r="E19" s="47">
        <f>Analyst_KPI_Tracker!D9</f>
        <v>3</v>
      </c>
      <c r="F19" s="47">
        <f>Analyst_KPI_Tracker!E9</f>
        <v>3</v>
      </c>
      <c r="G19" s="48">
        <f>Analyst_KPI_Tracker!G9</f>
        <v>1</v>
      </c>
      <c r="H19" s="19" t="str">
        <f>Analyst_KPI_Tracker!H9</f>
        <v>COMPLIANT</v>
      </c>
      <c r="I19" s="36"/>
    </row>
    <row r="20" spans="1:9" ht="17.25" thickBot="1" x14ac:dyDescent="0.35">
      <c r="B20" s="42"/>
      <c r="C20" s="42"/>
      <c r="D20" s="42"/>
      <c r="E20" s="42"/>
      <c r="F20" s="42"/>
      <c r="G20" s="42"/>
      <c r="H20" s="42"/>
    </row>
    <row r="21" spans="1:9" x14ac:dyDescent="0.3">
      <c r="A21" s="37"/>
      <c r="B21" s="43" t="s">
        <v>143</v>
      </c>
      <c r="C21" s="44"/>
      <c r="D21" s="44"/>
      <c r="E21" s="44"/>
      <c r="F21" s="44"/>
      <c r="G21" s="44"/>
      <c r="H21" s="45"/>
      <c r="I21" s="36"/>
    </row>
    <row r="22" spans="1:9" x14ac:dyDescent="0.3">
      <c r="A22" s="37"/>
      <c r="B22" s="20" t="s">
        <v>144</v>
      </c>
      <c r="C22" s="21" t="s">
        <v>145</v>
      </c>
      <c r="D22" s="21" t="s">
        <v>137</v>
      </c>
      <c r="E22" s="21" t="s">
        <v>146</v>
      </c>
      <c r="F22" s="21" t="s">
        <v>147</v>
      </c>
      <c r="G22" s="21" t="s">
        <v>148</v>
      </c>
      <c r="H22" s="22" t="s">
        <v>149</v>
      </c>
      <c r="I22" s="36"/>
    </row>
    <row r="23" spans="1:9" x14ac:dyDescent="0.3">
      <c r="A23" s="37"/>
      <c r="B23" s="40" t="str">
        <f>CRM_Audit_Log!A9</f>
        <v>REC-1008</v>
      </c>
      <c r="C23" s="34" t="str">
        <f>CRM_Audit_Log!B9</f>
        <v>AeroDynamics Global</v>
      </c>
      <c r="D23" s="34" t="str">
        <f>IF(CRM_Audit_Log!C9="", "", CRM_Audit_Log!C9)</f>
        <v/>
      </c>
      <c r="E23" s="34" t="str">
        <f>CRM_Audit_Log!D9</f>
        <v>David Kim</v>
      </c>
      <c r="F23" s="34" t="str">
        <f>CRM_Audit_Log!E9</f>
        <v>Completed</v>
      </c>
      <c r="G23" s="41">
        <f>CRM_Audit_Log!F9</f>
        <v>46240</v>
      </c>
      <c r="H23" s="23" t="str">
        <f>CRM_Audit_Log!G9</f>
        <v>DISCREPANCY - MISSING DATA</v>
      </c>
      <c r="I23" s="36"/>
    </row>
    <row r="24" spans="1:9" ht="17.25" thickBot="1" x14ac:dyDescent="0.35">
      <c r="A24" s="37"/>
      <c r="B24" s="38" t="str">
        <f>CRM_Audit_Log!A15</f>
        <v>REC-1014</v>
      </c>
      <c r="C24" s="39" t="str">
        <f>CRM_Audit_Log!B15</f>
        <v>BlueWave Marine Tech</v>
      </c>
      <c r="D24" s="39" t="str">
        <f>CRM_Audit_Log!C15</f>
        <v>Maritime &amp; Shipping</v>
      </c>
      <c r="E24" s="39" t="str">
        <f>CRM_Audit_Log!D15</f>
        <v>Liam O'Connor</v>
      </c>
      <c r="F24" s="39" t="str">
        <f>CRM_Audit_Log!E15</f>
        <v>In Review</v>
      </c>
      <c r="G24" s="39" t="str">
        <f>IF(CRM_Audit_Log!F15="", "", CRM_Audit_Log!F15)</f>
        <v/>
      </c>
      <c r="H24" s="24" t="str">
        <f>CRM_Audit_Log!G15</f>
        <v>DISCREPANCY - MISSING DATA</v>
      </c>
      <c r="I24" s="36"/>
    </row>
    <row r="25" spans="1:9" x14ac:dyDescent="0.3">
      <c r="B25" s="35"/>
      <c r="C25" s="35"/>
      <c r="D25" s="35"/>
      <c r="E25" s="35"/>
      <c r="F25" s="35"/>
      <c r="G25" s="35"/>
      <c r="H25" s="35"/>
    </row>
  </sheetData>
  <mergeCells count="11">
    <mergeCell ref="B10:H10"/>
    <mergeCell ref="B21:H21"/>
    <mergeCell ref="B1:H1"/>
    <mergeCell ref="B2:H2"/>
    <mergeCell ref="B5:C5"/>
    <mergeCell ref="B6:C7"/>
    <mergeCell ref="B8:C8"/>
    <mergeCell ref="E5:F5"/>
    <mergeCell ref="E6:F7"/>
    <mergeCell ref="E8:F8"/>
    <mergeCell ref="H6:H7"/>
  </mergeCells>
  <conditionalFormatting sqref="H12:H19">
    <cfRule type="cellIs" dxfId="2" priority="8" operator="equal">
      <formula>"ACTION REQUIRED: Follow-Up Sent"</formula>
    </cfRule>
    <cfRule type="cellIs" dxfId="1" priority="7" operator="equal">
      <formula>"COMPLIANT"</formula>
    </cfRule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{8363F6D1-5F79-4372-BF07-EF073D4A083A}</x14:id>
        </ext>
      </extLst>
    </cfRule>
  </conditionalFormatting>
  <conditionalFormatting sqref="H23:H24">
    <cfRule type="cellIs" dxfId="0" priority="6" operator="equal">
      <formula>"DISCREPANCY - MISSING DATA"</formula>
    </cfRule>
  </conditionalFormatting>
  <conditionalFormatting sqref="G12:G19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{FCF5AC1D-8F1D-4159-93AF-FD9DDD8729B8}</x14:id>
        </ext>
      </extLst>
    </cfRule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{FFF228C9-7F07-43D7-BEA5-E7D8B6FA9009}</x14:id>
        </ext>
      </extLst>
    </cfRule>
    <cfRule type="dataBar" priority="1">
      <dataBar>
        <cfvo type="min"/>
        <cfvo type="max"/>
        <color rgb="FF002060"/>
      </dataBar>
      <extLst>
        <ext xmlns:x14="http://schemas.microsoft.com/office/spreadsheetml/2009/9/main" uri="{B025F937-C7B1-47D3-B67F-A62EFF666E3E}">
          <x14:id>{3379CC59-A0D5-42DD-A342-FDE87C9C2843}</x14:id>
        </ext>
      </extLst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363F6D1-5F79-4372-BF07-EF073D4A08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H12:H19</xm:sqref>
        </x14:conditionalFormatting>
        <x14:conditionalFormatting xmlns:xm="http://schemas.microsoft.com/office/excel/2006/main">
          <x14:cfRule type="dataBar" id="{FCF5AC1D-8F1D-4159-93AF-FD9DDD8729B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F228C9-7F07-43D7-BEA5-E7D8B6FA90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3379CC59-A0D5-42DD-A342-FDE87C9C2843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G12:G19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25A3D-C12B-41AA-B23D-FB894DC24370}">
  <sheetPr>
    <tabColor theme="4" tint="-0.249977111117893"/>
  </sheetPr>
  <dimension ref="A1:G31"/>
  <sheetViews>
    <sheetView workbookViewId="0">
      <selection activeCell="C9" sqref="C9"/>
    </sheetView>
  </sheetViews>
  <sheetFormatPr defaultRowHeight="15" x14ac:dyDescent="0.25"/>
  <cols>
    <col min="1" max="1" width="11.85546875" style="1" bestFit="1" customWidth="1"/>
    <col min="2" max="2" width="29.7109375" style="1" bestFit="1" customWidth="1"/>
    <col min="3" max="3" width="31.7109375" style="1" bestFit="1" customWidth="1"/>
    <col min="4" max="4" width="20.140625" style="1" bestFit="1" customWidth="1"/>
    <col min="5" max="5" width="16.28515625" style="1" bestFit="1" customWidth="1"/>
    <col min="6" max="6" width="22" style="1" bestFit="1" customWidth="1"/>
    <col min="7" max="7" width="35.140625" style="1" bestFit="1" customWidth="1"/>
    <col min="8" max="16384" width="9.140625" style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3">
        <v>46235</v>
      </c>
      <c r="G2" s="1" t="str">
        <f>IF(OR(ISBLANK(C2), ISBLANK(E2), ISBLANK(F2)), "DISCREPANCY - MISSING DATA", "CLEAN / AUDITED")</f>
        <v>CLEAN / AUDITED</v>
      </c>
    </row>
    <row r="3" spans="1:7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3">
        <v>46236</v>
      </c>
      <c r="G3" s="1" t="str">
        <f t="shared" ref="G3:G31" si="0">IF(OR(ISBLANK(C3), ISBLANK(E3), ISBLANK(F3)), "DISCREPANCY - MISSING DATA", "CLEAN / AUDITED")</f>
        <v>CLEAN / AUDITED</v>
      </c>
    </row>
    <row r="4" spans="1:7" x14ac:dyDescent="0.25">
      <c r="A4" s="1" t="s">
        <v>17</v>
      </c>
      <c r="B4" s="1" t="s">
        <v>18</v>
      </c>
      <c r="C4" s="1" t="s">
        <v>19</v>
      </c>
      <c r="D4" s="1" t="s">
        <v>20</v>
      </c>
      <c r="E4" s="1" t="s">
        <v>11</v>
      </c>
      <c r="F4" s="3">
        <v>46237</v>
      </c>
      <c r="G4" s="1" t="str">
        <f t="shared" si="0"/>
        <v>CLEAN / AUDITED</v>
      </c>
    </row>
    <row r="5" spans="1:7" x14ac:dyDescent="0.25">
      <c r="A5" s="1" t="s">
        <v>21</v>
      </c>
      <c r="B5" s="1" t="s">
        <v>22</v>
      </c>
      <c r="C5" s="1" t="s">
        <v>23</v>
      </c>
      <c r="D5" s="1" t="s">
        <v>24</v>
      </c>
      <c r="E5" s="1" t="s">
        <v>25</v>
      </c>
      <c r="F5" s="3">
        <v>46237</v>
      </c>
      <c r="G5" s="1" t="str">
        <f t="shared" si="0"/>
        <v>CLEAN / AUDITED</v>
      </c>
    </row>
    <row r="6" spans="1:7" x14ac:dyDescent="0.25">
      <c r="A6" s="1" t="s">
        <v>26</v>
      </c>
      <c r="B6" s="1" t="s">
        <v>27</v>
      </c>
      <c r="C6" s="1" t="s">
        <v>28</v>
      </c>
      <c r="D6" s="1" t="s">
        <v>29</v>
      </c>
      <c r="E6" s="1" t="s">
        <v>11</v>
      </c>
      <c r="F6" s="3">
        <v>46238</v>
      </c>
      <c r="G6" s="1" t="str">
        <f t="shared" si="0"/>
        <v>CLEAN / AUDITED</v>
      </c>
    </row>
    <row r="7" spans="1:7" x14ac:dyDescent="0.25">
      <c r="A7" s="1" t="s">
        <v>30</v>
      </c>
      <c r="B7" s="1" t="s">
        <v>31</v>
      </c>
      <c r="C7" s="1" t="s">
        <v>32</v>
      </c>
      <c r="D7" s="1" t="s">
        <v>33</v>
      </c>
      <c r="E7" s="1" t="s">
        <v>11</v>
      </c>
      <c r="F7" s="3">
        <v>46239</v>
      </c>
      <c r="G7" s="1" t="str">
        <f t="shared" si="0"/>
        <v>CLEAN / AUDITED</v>
      </c>
    </row>
    <row r="8" spans="1:7" x14ac:dyDescent="0.25">
      <c r="A8" s="1" t="s">
        <v>34</v>
      </c>
      <c r="B8" s="1" t="s">
        <v>35</v>
      </c>
      <c r="C8" s="1" t="s">
        <v>36</v>
      </c>
      <c r="D8" s="1" t="s">
        <v>37</v>
      </c>
      <c r="E8" s="1" t="s">
        <v>16</v>
      </c>
      <c r="F8" s="3">
        <v>46239</v>
      </c>
      <c r="G8" s="1" t="str">
        <f t="shared" si="0"/>
        <v>CLEAN / AUDITED</v>
      </c>
    </row>
    <row r="9" spans="1:7" x14ac:dyDescent="0.25">
      <c r="A9" s="1" t="s">
        <v>38</v>
      </c>
      <c r="B9" s="1" t="s">
        <v>39</v>
      </c>
      <c r="D9" s="1" t="s">
        <v>40</v>
      </c>
      <c r="E9" s="1" t="s">
        <v>11</v>
      </c>
      <c r="F9" s="3">
        <v>46240</v>
      </c>
      <c r="G9" s="1" t="str">
        <f t="shared" si="0"/>
        <v>DISCREPANCY - MISSING DATA</v>
      </c>
    </row>
    <row r="10" spans="1:7" x14ac:dyDescent="0.25">
      <c r="A10" s="1" t="s">
        <v>41</v>
      </c>
      <c r="B10" s="1" t="s">
        <v>42</v>
      </c>
      <c r="C10" s="1" t="s">
        <v>43</v>
      </c>
      <c r="D10" s="1" t="s">
        <v>10</v>
      </c>
      <c r="E10" s="1" t="s">
        <v>11</v>
      </c>
      <c r="F10" s="3">
        <v>46240</v>
      </c>
      <c r="G10" s="1" t="str">
        <f t="shared" si="0"/>
        <v>CLEAN / AUDITED</v>
      </c>
    </row>
    <row r="11" spans="1:7" x14ac:dyDescent="0.25">
      <c r="A11" s="1" t="s">
        <v>44</v>
      </c>
      <c r="B11" s="1" t="s">
        <v>45</v>
      </c>
      <c r="C11" s="1" t="s">
        <v>23</v>
      </c>
      <c r="D11" s="1" t="s">
        <v>24</v>
      </c>
      <c r="E11" s="1" t="s">
        <v>11</v>
      </c>
      <c r="F11" s="3">
        <v>46241</v>
      </c>
      <c r="G11" s="1" t="str">
        <f t="shared" si="0"/>
        <v>CLEAN / AUDITED</v>
      </c>
    </row>
    <row r="12" spans="1:7" x14ac:dyDescent="0.25">
      <c r="A12" s="1" t="s">
        <v>46</v>
      </c>
      <c r="B12" s="1" t="s">
        <v>47</v>
      </c>
      <c r="C12" s="1" t="s">
        <v>14</v>
      </c>
      <c r="D12" s="1" t="s">
        <v>15</v>
      </c>
      <c r="E12" s="1" t="s">
        <v>25</v>
      </c>
      <c r="F12" s="3">
        <v>46242</v>
      </c>
      <c r="G12" s="1" t="str">
        <f t="shared" si="0"/>
        <v>CLEAN / AUDITED</v>
      </c>
    </row>
    <row r="13" spans="1:7" x14ac:dyDescent="0.25">
      <c r="A13" s="1" t="s">
        <v>48</v>
      </c>
      <c r="B13" s="1" t="s">
        <v>49</v>
      </c>
      <c r="C13" s="1" t="s">
        <v>28</v>
      </c>
      <c r="D13" s="1" t="s">
        <v>29</v>
      </c>
      <c r="E13" s="1" t="s">
        <v>11</v>
      </c>
      <c r="F13" s="3">
        <v>46242</v>
      </c>
      <c r="G13" s="1" t="str">
        <f t="shared" si="0"/>
        <v>CLEAN / AUDITED</v>
      </c>
    </row>
    <row r="14" spans="1:7" x14ac:dyDescent="0.25">
      <c r="A14" s="1" t="s">
        <v>50</v>
      </c>
      <c r="B14" s="1" t="s">
        <v>51</v>
      </c>
      <c r="C14" s="1" t="s">
        <v>23</v>
      </c>
      <c r="D14" s="1" t="s">
        <v>24</v>
      </c>
      <c r="E14" s="1" t="s">
        <v>11</v>
      </c>
      <c r="F14" s="3">
        <v>46243</v>
      </c>
      <c r="G14" s="1" t="str">
        <f t="shared" si="0"/>
        <v>CLEAN / AUDITED</v>
      </c>
    </row>
    <row r="15" spans="1:7" x14ac:dyDescent="0.25">
      <c r="A15" s="1" t="s">
        <v>52</v>
      </c>
      <c r="B15" s="1" t="s">
        <v>53</v>
      </c>
      <c r="C15" s="1" t="s">
        <v>54</v>
      </c>
      <c r="D15" s="1" t="s">
        <v>33</v>
      </c>
      <c r="E15" s="1" t="s">
        <v>16</v>
      </c>
      <c r="G15" s="1" t="str">
        <f t="shared" si="0"/>
        <v>DISCREPANCY - MISSING DATA</v>
      </c>
    </row>
    <row r="16" spans="1:7" x14ac:dyDescent="0.25">
      <c r="A16" s="1" t="s">
        <v>55</v>
      </c>
      <c r="B16" s="1" t="s">
        <v>56</v>
      </c>
      <c r="C16" s="1" t="s">
        <v>57</v>
      </c>
      <c r="D16" s="1" t="s">
        <v>37</v>
      </c>
      <c r="E16" s="1" t="s">
        <v>11</v>
      </c>
      <c r="F16" s="3">
        <v>46244</v>
      </c>
      <c r="G16" s="1" t="str">
        <f t="shared" si="0"/>
        <v>CLEAN / AUDITED</v>
      </c>
    </row>
    <row r="17" spans="1:7" x14ac:dyDescent="0.25">
      <c r="A17" s="1" t="s">
        <v>58</v>
      </c>
      <c r="B17" s="1" t="s">
        <v>59</v>
      </c>
      <c r="C17" s="1" t="s">
        <v>9</v>
      </c>
      <c r="D17" s="1" t="s">
        <v>10</v>
      </c>
      <c r="E17" s="1" t="s">
        <v>11</v>
      </c>
      <c r="F17" s="3">
        <v>46245</v>
      </c>
      <c r="G17" s="1" t="str">
        <f t="shared" si="0"/>
        <v>CLEAN / AUDITED</v>
      </c>
    </row>
    <row r="18" spans="1:7" x14ac:dyDescent="0.25">
      <c r="A18" s="1" t="s">
        <v>60</v>
      </c>
      <c r="B18" s="1" t="s">
        <v>61</v>
      </c>
      <c r="C18" s="1" t="s">
        <v>19</v>
      </c>
      <c r="D18" s="1" t="s">
        <v>20</v>
      </c>
      <c r="E18" s="1" t="s">
        <v>11</v>
      </c>
      <c r="F18" s="3">
        <v>46245</v>
      </c>
      <c r="G18" s="1" t="str">
        <f t="shared" si="0"/>
        <v>CLEAN / AUDITED</v>
      </c>
    </row>
    <row r="19" spans="1:7" x14ac:dyDescent="0.25">
      <c r="A19" s="1" t="s">
        <v>62</v>
      </c>
      <c r="B19" s="1" t="s">
        <v>63</v>
      </c>
      <c r="C19" s="1" t="s">
        <v>64</v>
      </c>
      <c r="D19" s="1" t="s">
        <v>40</v>
      </c>
      <c r="E19" s="1" t="s">
        <v>16</v>
      </c>
      <c r="F19" s="3">
        <v>46246</v>
      </c>
      <c r="G19" s="1" t="str">
        <f t="shared" si="0"/>
        <v>CLEAN / AUDITED</v>
      </c>
    </row>
    <row r="20" spans="1:7" x14ac:dyDescent="0.25">
      <c r="A20" s="1" t="s">
        <v>65</v>
      </c>
      <c r="B20" s="1" t="s">
        <v>66</v>
      </c>
      <c r="C20" s="1" t="s">
        <v>14</v>
      </c>
      <c r="D20" s="1" t="s">
        <v>15</v>
      </c>
      <c r="E20" s="1" t="s">
        <v>11</v>
      </c>
      <c r="F20" s="3">
        <v>46246</v>
      </c>
      <c r="G20" s="1" t="str">
        <f t="shared" si="0"/>
        <v>CLEAN / AUDITED</v>
      </c>
    </row>
    <row r="21" spans="1:7" x14ac:dyDescent="0.25">
      <c r="A21" s="1" t="s">
        <v>67</v>
      </c>
      <c r="B21" s="1" t="s">
        <v>68</v>
      </c>
      <c r="C21" s="1" t="s">
        <v>23</v>
      </c>
      <c r="D21" s="1" t="s">
        <v>24</v>
      </c>
      <c r="E21" s="1" t="s">
        <v>11</v>
      </c>
      <c r="F21" s="3">
        <v>46247</v>
      </c>
      <c r="G21" s="1" t="str">
        <f t="shared" si="0"/>
        <v>CLEAN / AUDITED</v>
      </c>
    </row>
    <row r="22" spans="1:7" x14ac:dyDescent="0.25">
      <c r="A22" s="1" t="s">
        <v>69</v>
      </c>
      <c r="B22" s="1" t="s">
        <v>70</v>
      </c>
      <c r="C22" s="1" t="s">
        <v>71</v>
      </c>
      <c r="D22" s="1" t="s">
        <v>29</v>
      </c>
      <c r="E22" s="1" t="s">
        <v>11</v>
      </c>
      <c r="F22" s="3">
        <v>46248</v>
      </c>
      <c r="G22" s="1" t="str">
        <f t="shared" si="0"/>
        <v>CLEAN / AUDITED</v>
      </c>
    </row>
    <row r="23" spans="1:7" x14ac:dyDescent="0.25">
      <c r="A23" s="1" t="s">
        <v>72</v>
      </c>
      <c r="B23" s="1" t="s">
        <v>73</v>
      </c>
      <c r="C23" s="1" t="s">
        <v>36</v>
      </c>
      <c r="D23" s="1" t="s">
        <v>37</v>
      </c>
      <c r="E23" s="1" t="s">
        <v>11</v>
      </c>
      <c r="F23" s="3">
        <v>46248</v>
      </c>
      <c r="G23" s="1" t="str">
        <f t="shared" si="0"/>
        <v>CLEAN / AUDITED</v>
      </c>
    </row>
    <row r="24" spans="1:7" x14ac:dyDescent="0.25">
      <c r="A24" s="1" t="s">
        <v>74</v>
      </c>
      <c r="B24" s="1" t="s">
        <v>75</v>
      </c>
      <c r="C24" s="1" t="s">
        <v>9</v>
      </c>
      <c r="D24" s="1" t="s">
        <v>10</v>
      </c>
      <c r="E24" s="1" t="s">
        <v>16</v>
      </c>
      <c r="F24" s="3">
        <v>46249</v>
      </c>
      <c r="G24" s="1" t="str">
        <f t="shared" si="0"/>
        <v>CLEAN / AUDITED</v>
      </c>
    </row>
    <row r="25" spans="1:7" x14ac:dyDescent="0.25">
      <c r="A25" s="1" t="s">
        <v>76</v>
      </c>
      <c r="B25" s="1" t="s">
        <v>77</v>
      </c>
      <c r="C25" s="1" t="s">
        <v>19</v>
      </c>
      <c r="D25" s="1" t="s">
        <v>20</v>
      </c>
      <c r="E25" s="1" t="s">
        <v>11</v>
      </c>
      <c r="F25" s="3">
        <v>46249</v>
      </c>
      <c r="G25" s="1" t="str">
        <f t="shared" si="0"/>
        <v>CLEAN / AUDITED</v>
      </c>
    </row>
    <row r="26" spans="1:7" x14ac:dyDescent="0.25">
      <c r="A26" s="1" t="s">
        <v>78</v>
      </c>
      <c r="B26" s="1" t="s">
        <v>79</v>
      </c>
      <c r="C26" s="1" t="s">
        <v>23</v>
      </c>
      <c r="D26" s="1" t="s">
        <v>24</v>
      </c>
      <c r="E26" s="1" t="s">
        <v>25</v>
      </c>
      <c r="F26" s="3">
        <v>46250</v>
      </c>
      <c r="G26" s="1" t="str">
        <f t="shared" si="0"/>
        <v>CLEAN / AUDITED</v>
      </c>
    </row>
    <row r="27" spans="1:7" x14ac:dyDescent="0.25">
      <c r="A27" s="1" t="s">
        <v>80</v>
      </c>
      <c r="B27" s="1" t="s">
        <v>81</v>
      </c>
      <c r="C27" s="1" t="s">
        <v>82</v>
      </c>
      <c r="D27" s="1" t="s">
        <v>40</v>
      </c>
      <c r="E27" s="1" t="s">
        <v>11</v>
      </c>
      <c r="F27" s="3">
        <v>46250</v>
      </c>
      <c r="G27" s="1" t="str">
        <f t="shared" si="0"/>
        <v>CLEAN / AUDITED</v>
      </c>
    </row>
    <row r="28" spans="1:7" x14ac:dyDescent="0.25">
      <c r="A28" s="1" t="s">
        <v>83</v>
      </c>
      <c r="B28" s="1" t="s">
        <v>84</v>
      </c>
      <c r="C28" s="1" t="s">
        <v>32</v>
      </c>
      <c r="D28" s="1" t="s">
        <v>33</v>
      </c>
      <c r="E28" s="1" t="s">
        <v>11</v>
      </c>
      <c r="F28" s="3">
        <v>46251</v>
      </c>
      <c r="G28" s="1" t="str">
        <f t="shared" si="0"/>
        <v>CLEAN / AUDITED</v>
      </c>
    </row>
    <row r="29" spans="1:7" x14ac:dyDescent="0.25">
      <c r="A29" s="1" t="s">
        <v>85</v>
      </c>
      <c r="B29" s="1" t="s">
        <v>86</v>
      </c>
      <c r="C29" s="1" t="s">
        <v>14</v>
      </c>
      <c r="D29" s="1" t="s">
        <v>15</v>
      </c>
      <c r="E29" s="1" t="s">
        <v>11</v>
      </c>
      <c r="F29" s="3">
        <v>46251</v>
      </c>
      <c r="G29" s="1" t="str">
        <f t="shared" si="0"/>
        <v>CLEAN / AUDITED</v>
      </c>
    </row>
    <row r="30" spans="1:7" x14ac:dyDescent="0.25">
      <c r="A30" s="1" t="s">
        <v>87</v>
      </c>
      <c r="B30" s="1" t="s">
        <v>88</v>
      </c>
      <c r="C30" s="1" t="s">
        <v>19</v>
      </c>
      <c r="D30" s="1" t="s">
        <v>20</v>
      </c>
      <c r="E30" s="1" t="s">
        <v>16</v>
      </c>
      <c r="F30" s="3">
        <v>46252</v>
      </c>
      <c r="G30" s="1" t="str">
        <f t="shared" si="0"/>
        <v>CLEAN / AUDITED</v>
      </c>
    </row>
    <row r="31" spans="1:7" x14ac:dyDescent="0.25">
      <c r="A31" s="1" t="s">
        <v>89</v>
      </c>
      <c r="B31" s="1" t="s">
        <v>90</v>
      </c>
      <c r="C31" s="1" t="s">
        <v>91</v>
      </c>
      <c r="D31" s="1" t="s">
        <v>29</v>
      </c>
      <c r="E31" s="1" t="s">
        <v>11</v>
      </c>
      <c r="F31" s="3">
        <v>46252</v>
      </c>
      <c r="G31" s="1" t="str">
        <f t="shared" si="0"/>
        <v>CLEAN / AUDITED</v>
      </c>
    </row>
  </sheetData>
  <conditionalFormatting sqref="A2:XFD1048576">
    <cfRule type="expression" dxfId="9" priority="3">
      <formula>ISEVEN(ROW())</formula>
    </cfRule>
  </conditionalFormatting>
  <conditionalFormatting sqref="G2:G31">
    <cfRule type="cellIs" dxfId="8" priority="1" operator="equal">
      <formula>"DISCREPANCY - MISSING DATA"</formula>
    </cfRule>
    <cfRule type="cellIs" dxfId="7" priority="2" operator="equal">
      <formula>"CLEAN / AUDITED"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EE019-40AE-4457-BF1D-A1EE822E9522}">
  <sheetPr>
    <tabColor rgb="FF0070C0"/>
  </sheetPr>
  <dimension ref="A1:H9"/>
  <sheetViews>
    <sheetView workbookViewId="0">
      <selection activeCell="G16" sqref="G16"/>
    </sheetView>
  </sheetViews>
  <sheetFormatPr defaultRowHeight="15" x14ac:dyDescent="0.25"/>
  <cols>
    <col min="1" max="1" width="19.42578125" style="1" bestFit="1" customWidth="1"/>
    <col min="2" max="2" width="25.5703125" style="1" bestFit="1" customWidth="1"/>
    <col min="3" max="3" width="27" style="1" bestFit="1" customWidth="1"/>
    <col min="4" max="4" width="21.7109375" style="1" bestFit="1" customWidth="1"/>
    <col min="5" max="5" width="20" style="1" bestFit="1" customWidth="1"/>
    <col min="6" max="6" width="27.5703125" style="1" bestFit="1" customWidth="1"/>
    <col min="7" max="7" width="21.85546875" style="5" bestFit="1" customWidth="1"/>
    <col min="8" max="8" width="38.7109375" style="1" bestFit="1" customWidth="1"/>
    <col min="9" max="16384" width="9.140625" style="1"/>
  </cols>
  <sheetData>
    <row r="1" spans="1:8" s="2" customFormat="1" x14ac:dyDescent="0.25">
      <c r="A1" s="2" t="s">
        <v>92</v>
      </c>
      <c r="B1" s="2" t="s">
        <v>93</v>
      </c>
      <c r="C1" s="2" t="s">
        <v>94</v>
      </c>
      <c r="D1" s="2" t="s">
        <v>95</v>
      </c>
      <c r="E1" s="2" t="s">
        <v>96</v>
      </c>
      <c r="F1" s="2" t="s">
        <v>97</v>
      </c>
      <c r="G1" s="4" t="s">
        <v>98</v>
      </c>
      <c r="H1" s="2" t="s">
        <v>99</v>
      </c>
    </row>
    <row r="2" spans="1:8" x14ac:dyDescent="0.25">
      <c r="A2" s="1" t="s">
        <v>10</v>
      </c>
      <c r="B2" s="1" t="s">
        <v>9</v>
      </c>
      <c r="C2" s="1">
        <v>4</v>
      </c>
      <c r="D2" s="1">
        <v>4</v>
      </c>
      <c r="E2" s="1">
        <v>4</v>
      </c>
      <c r="F2" s="1">
        <v>0</v>
      </c>
      <c r="G2" s="5">
        <f>D2/C2</f>
        <v>1</v>
      </c>
      <c r="H2" s="1" t="str">
        <f>IF(F2&gt;0, "ACTION REQUIRED: Follow-Up Sent", "COMPLIANT")</f>
        <v>COMPLIANT</v>
      </c>
    </row>
    <row r="3" spans="1:8" x14ac:dyDescent="0.25">
      <c r="A3" s="1" t="s">
        <v>15</v>
      </c>
      <c r="B3" s="1" t="s">
        <v>14</v>
      </c>
      <c r="C3" s="1">
        <v>4</v>
      </c>
      <c r="D3" s="1">
        <v>4</v>
      </c>
      <c r="E3" s="1">
        <v>3</v>
      </c>
      <c r="F3" s="1">
        <v>1</v>
      </c>
      <c r="G3" s="5">
        <f t="shared" ref="G3:G9" si="0">D3/C3</f>
        <v>1</v>
      </c>
      <c r="H3" s="1" t="str">
        <f t="shared" ref="H3:H9" si="1">IF(F3&gt;0, "ACTION REQUIRED: Follow-Up Sent", "COMPLIANT")</f>
        <v>ACTION REQUIRED: Follow-Up Sent</v>
      </c>
    </row>
    <row r="4" spans="1:8" x14ac:dyDescent="0.25">
      <c r="A4" s="1" t="s">
        <v>20</v>
      </c>
      <c r="B4" s="1" t="s">
        <v>19</v>
      </c>
      <c r="C4" s="1">
        <v>3</v>
      </c>
      <c r="D4" s="1">
        <v>3</v>
      </c>
      <c r="E4" s="1">
        <v>3</v>
      </c>
      <c r="F4" s="1">
        <v>0</v>
      </c>
      <c r="G4" s="5">
        <f t="shared" si="0"/>
        <v>1</v>
      </c>
      <c r="H4" s="1" t="str">
        <f t="shared" si="1"/>
        <v>COMPLIANT</v>
      </c>
    </row>
    <row r="5" spans="1:8" x14ac:dyDescent="0.25">
      <c r="A5" s="1" t="s">
        <v>24</v>
      </c>
      <c r="B5" s="1" t="s">
        <v>23</v>
      </c>
      <c r="C5" s="1">
        <v>5</v>
      </c>
      <c r="D5" s="1">
        <v>5</v>
      </c>
      <c r="E5" s="1">
        <v>4</v>
      </c>
      <c r="F5" s="1">
        <v>1</v>
      </c>
      <c r="G5" s="5">
        <f t="shared" si="0"/>
        <v>1</v>
      </c>
      <c r="H5" s="1" t="str">
        <f t="shared" si="1"/>
        <v>ACTION REQUIRED: Follow-Up Sent</v>
      </c>
    </row>
    <row r="6" spans="1:8" x14ac:dyDescent="0.25">
      <c r="A6" s="1" t="s">
        <v>29</v>
      </c>
      <c r="B6" s="1" t="s">
        <v>100</v>
      </c>
      <c r="C6" s="1">
        <v>4</v>
      </c>
      <c r="D6" s="1">
        <v>4</v>
      </c>
      <c r="E6" s="1">
        <v>4</v>
      </c>
      <c r="F6" s="1">
        <v>0</v>
      </c>
      <c r="G6" s="5">
        <f t="shared" si="0"/>
        <v>1</v>
      </c>
      <c r="H6" s="1" t="str">
        <f t="shared" si="1"/>
        <v>COMPLIANT</v>
      </c>
    </row>
    <row r="7" spans="1:8" x14ac:dyDescent="0.25">
      <c r="A7" s="1" t="s">
        <v>33</v>
      </c>
      <c r="B7" s="1" t="s">
        <v>32</v>
      </c>
      <c r="C7" s="1">
        <v>3</v>
      </c>
      <c r="D7" s="1">
        <v>2</v>
      </c>
      <c r="E7" s="1">
        <v>2</v>
      </c>
      <c r="F7" s="1">
        <v>1</v>
      </c>
      <c r="G7" s="5">
        <f t="shared" si="0"/>
        <v>0.66666666666666663</v>
      </c>
      <c r="H7" s="1" t="str">
        <f t="shared" si="1"/>
        <v>ACTION REQUIRED: Follow-Up Sent</v>
      </c>
    </row>
    <row r="8" spans="1:8" x14ac:dyDescent="0.25">
      <c r="A8" s="1" t="s">
        <v>37</v>
      </c>
      <c r="B8" s="1" t="s">
        <v>36</v>
      </c>
      <c r="C8" s="1">
        <v>3</v>
      </c>
      <c r="D8" s="1">
        <v>3</v>
      </c>
      <c r="E8" s="1">
        <v>2</v>
      </c>
      <c r="F8" s="1">
        <v>1</v>
      </c>
      <c r="G8" s="5">
        <f t="shared" si="0"/>
        <v>1</v>
      </c>
      <c r="H8" s="1" t="str">
        <f t="shared" si="1"/>
        <v>ACTION REQUIRED: Follow-Up Sent</v>
      </c>
    </row>
    <row r="9" spans="1:8" x14ac:dyDescent="0.25">
      <c r="A9" s="1" t="s">
        <v>40</v>
      </c>
      <c r="B9" s="1" t="s">
        <v>101</v>
      </c>
      <c r="C9" s="1">
        <v>3</v>
      </c>
      <c r="D9" s="1">
        <v>3</v>
      </c>
      <c r="E9" s="1">
        <v>3</v>
      </c>
      <c r="F9" s="1">
        <v>0</v>
      </c>
      <c r="G9" s="5">
        <f t="shared" si="0"/>
        <v>1</v>
      </c>
      <c r="H9" s="1" t="str">
        <f t="shared" si="1"/>
        <v>COMPLIANT</v>
      </c>
    </row>
  </sheetData>
  <conditionalFormatting sqref="A10:XFD1048576 A2:F9 H2:XFD9">
    <cfRule type="expression" dxfId="6" priority="3">
      <formula>ISEVEN(ROW())</formula>
    </cfRule>
  </conditionalFormatting>
  <conditionalFormatting sqref="H2:H9">
    <cfRule type="cellIs" dxfId="5" priority="1" operator="equal">
      <formula>"ACTION REQUIRED: Follow-Up Sent"</formula>
    </cfRule>
    <cfRule type="cellIs" dxfId="4" priority="2" operator="equal">
      <formula>"COMPLIANT"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2520D-9432-42FF-829F-FE1854CC3B69}">
  <sheetPr>
    <tabColor rgb="FF00B0F0"/>
  </sheetPr>
  <dimension ref="A1:X9"/>
  <sheetViews>
    <sheetView topLeftCell="I1" workbookViewId="0">
      <selection activeCell="X2" sqref="X2:X9"/>
    </sheetView>
  </sheetViews>
  <sheetFormatPr defaultRowHeight="15" x14ac:dyDescent="0.25"/>
  <cols>
    <col min="1" max="1" width="16.5703125" style="1" bestFit="1" customWidth="1"/>
    <col min="2" max="21" width="9.140625" style="1"/>
    <col min="22" max="22" width="16" style="1" bestFit="1" customWidth="1"/>
    <col min="23" max="23" width="23" style="5" bestFit="1" customWidth="1"/>
    <col min="24" max="24" width="25.28515625" style="1" bestFit="1" customWidth="1"/>
    <col min="25" max="16384" width="9.140625" style="1"/>
  </cols>
  <sheetData>
    <row r="1" spans="1:24" s="2" customFormat="1" x14ac:dyDescent="0.25">
      <c r="A1" s="2" t="s">
        <v>92</v>
      </c>
      <c r="B1" s="2" t="s">
        <v>102</v>
      </c>
      <c r="C1" s="2" t="s">
        <v>103</v>
      </c>
      <c r="D1" s="2" t="s">
        <v>104</v>
      </c>
      <c r="E1" s="2" t="s">
        <v>105</v>
      </c>
      <c r="F1" s="2" t="s">
        <v>106</v>
      </c>
      <c r="G1" s="2" t="s">
        <v>107</v>
      </c>
      <c r="H1" s="2" t="s">
        <v>108</v>
      </c>
      <c r="I1" s="2" t="s">
        <v>109</v>
      </c>
      <c r="J1" s="2" t="s">
        <v>110</v>
      </c>
      <c r="K1" s="2" t="s">
        <v>111</v>
      </c>
      <c r="L1" s="2" t="s">
        <v>112</v>
      </c>
      <c r="M1" s="2" t="s">
        <v>113</v>
      </c>
      <c r="N1" s="2" t="s">
        <v>114</v>
      </c>
      <c r="O1" s="2" t="s">
        <v>115</v>
      </c>
      <c r="P1" s="2" t="s">
        <v>116</v>
      </c>
      <c r="Q1" s="2" t="s">
        <v>117</v>
      </c>
      <c r="R1" s="2" t="s">
        <v>118</v>
      </c>
      <c r="S1" s="2" t="s">
        <v>119</v>
      </c>
      <c r="T1" s="2" t="s">
        <v>120</v>
      </c>
      <c r="U1" s="2" t="s">
        <v>121</v>
      </c>
      <c r="V1" s="2" t="s">
        <v>122</v>
      </c>
      <c r="W1" s="4" t="s">
        <v>123</v>
      </c>
      <c r="X1" s="2" t="s">
        <v>124</v>
      </c>
    </row>
    <row r="2" spans="1:24" x14ac:dyDescent="0.25">
      <c r="A2" s="1" t="s">
        <v>10</v>
      </c>
      <c r="B2" s="1" t="s">
        <v>125</v>
      </c>
      <c r="C2" s="1" t="s">
        <v>125</v>
      </c>
      <c r="D2" s="1" t="s">
        <v>125</v>
      </c>
      <c r="E2" s="1" t="s">
        <v>125</v>
      </c>
      <c r="F2" s="1" t="s">
        <v>125</v>
      </c>
      <c r="G2" s="1" t="s">
        <v>125</v>
      </c>
      <c r="H2" s="1" t="s">
        <v>125</v>
      </c>
      <c r="I2" s="1" t="s">
        <v>125</v>
      </c>
      <c r="J2" s="1" t="s">
        <v>125</v>
      </c>
      <c r="K2" s="1" t="s">
        <v>125</v>
      </c>
      <c r="L2" s="1" t="s">
        <v>125</v>
      </c>
      <c r="M2" s="1" t="s">
        <v>125</v>
      </c>
      <c r="N2" s="1" t="s">
        <v>125</v>
      </c>
      <c r="O2" s="1" t="s">
        <v>125</v>
      </c>
      <c r="P2" s="1" t="s">
        <v>125</v>
      </c>
      <c r="Q2" s="1" t="s">
        <v>125</v>
      </c>
      <c r="R2" s="1" t="s">
        <v>125</v>
      </c>
      <c r="S2" s="1" t="s">
        <v>125</v>
      </c>
      <c r="T2" s="1" t="s">
        <v>125</v>
      </c>
      <c r="U2" s="1" t="s">
        <v>125</v>
      </c>
      <c r="V2" s="1">
        <f>COUNTIF(B2:U2, "P")</f>
        <v>20</v>
      </c>
      <c r="W2" s="5">
        <f>COUNTIF(B2:U2, "P") / COUNTA(B2:U2)</f>
        <v>1</v>
      </c>
      <c r="X2" s="1" t="str">
        <f>IF(W2&gt;=0.95, "REGULAR", "ATTENTION REQUIRED")</f>
        <v>REGULAR</v>
      </c>
    </row>
    <row r="3" spans="1:24" x14ac:dyDescent="0.25">
      <c r="A3" s="1" t="s">
        <v>15</v>
      </c>
      <c r="B3" s="1" t="s">
        <v>125</v>
      </c>
      <c r="C3" s="1" t="s">
        <v>125</v>
      </c>
      <c r="D3" s="1" t="s">
        <v>125</v>
      </c>
      <c r="E3" s="1" t="s">
        <v>125</v>
      </c>
      <c r="F3" s="1" t="s">
        <v>125</v>
      </c>
      <c r="G3" s="1" t="s">
        <v>125</v>
      </c>
      <c r="H3" s="1" t="s">
        <v>125</v>
      </c>
      <c r="I3" s="1" t="s">
        <v>125</v>
      </c>
      <c r="J3" s="1" t="s">
        <v>125</v>
      </c>
      <c r="K3" s="1" t="s">
        <v>125</v>
      </c>
      <c r="L3" s="1" t="s">
        <v>126</v>
      </c>
      <c r="M3" s="1" t="s">
        <v>125</v>
      </c>
      <c r="N3" s="1" t="s">
        <v>125</v>
      </c>
      <c r="O3" s="1" t="s">
        <v>125</v>
      </c>
      <c r="P3" s="1" t="s">
        <v>125</v>
      </c>
      <c r="Q3" s="1" t="s">
        <v>125</v>
      </c>
      <c r="R3" s="1" t="s">
        <v>125</v>
      </c>
      <c r="S3" s="1" t="s">
        <v>125</v>
      </c>
      <c r="T3" s="1" t="s">
        <v>125</v>
      </c>
      <c r="U3" s="1" t="s">
        <v>125</v>
      </c>
      <c r="V3" s="1">
        <f t="shared" ref="V3:V9" si="0">COUNTIF(B3:U3, "P")</f>
        <v>19</v>
      </c>
      <c r="W3" s="5">
        <f t="shared" ref="W3:W9" si="1">COUNTIF(B3:U3, "P") / COUNTA(B3:U3)</f>
        <v>0.95</v>
      </c>
      <c r="X3" s="1" t="str">
        <f t="shared" ref="X3:X9" si="2">IF(W3&gt;=0.95, "REGULAR", "ATTENTION REQUIRED")</f>
        <v>REGULAR</v>
      </c>
    </row>
    <row r="4" spans="1:24" x14ac:dyDescent="0.25">
      <c r="A4" s="1" t="s">
        <v>20</v>
      </c>
      <c r="B4" s="1" t="s">
        <v>125</v>
      </c>
      <c r="C4" s="1" t="s">
        <v>125</v>
      </c>
      <c r="D4" s="1" t="s">
        <v>125</v>
      </c>
      <c r="E4" s="1" t="s">
        <v>125</v>
      </c>
      <c r="F4" s="1" t="s">
        <v>125</v>
      </c>
      <c r="G4" s="1" t="s">
        <v>125</v>
      </c>
      <c r="H4" s="1" t="s">
        <v>125</v>
      </c>
      <c r="I4" s="1" t="s">
        <v>125</v>
      </c>
      <c r="J4" s="1" t="s">
        <v>125</v>
      </c>
      <c r="K4" s="1" t="s">
        <v>125</v>
      </c>
      <c r="L4" s="1" t="s">
        <v>125</v>
      </c>
      <c r="M4" s="1" t="s">
        <v>125</v>
      </c>
      <c r="N4" s="1" t="s">
        <v>125</v>
      </c>
      <c r="O4" s="1" t="s">
        <v>125</v>
      </c>
      <c r="P4" s="1" t="s">
        <v>125</v>
      </c>
      <c r="Q4" s="1" t="s">
        <v>125</v>
      </c>
      <c r="R4" s="1" t="s">
        <v>125</v>
      </c>
      <c r="S4" s="1" t="s">
        <v>125</v>
      </c>
      <c r="T4" s="1" t="s">
        <v>125</v>
      </c>
      <c r="U4" s="1" t="s">
        <v>125</v>
      </c>
      <c r="V4" s="1">
        <f t="shared" si="0"/>
        <v>20</v>
      </c>
      <c r="W4" s="5">
        <f t="shared" si="1"/>
        <v>1</v>
      </c>
      <c r="X4" s="1" t="str">
        <f t="shared" si="2"/>
        <v>REGULAR</v>
      </c>
    </row>
    <row r="5" spans="1:24" x14ac:dyDescent="0.25">
      <c r="A5" s="1" t="s">
        <v>24</v>
      </c>
      <c r="B5" s="1" t="s">
        <v>125</v>
      </c>
      <c r="C5" s="1" t="s">
        <v>125</v>
      </c>
      <c r="D5" s="1" t="s">
        <v>125</v>
      </c>
      <c r="E5" s="1" t="s">
        <v>125</v>
      </c>
      <c r="F5" s="1" t="s">
        <v>125</v>
      </c>
      <c r="G5" s="1" t="s">
        <v>125</v>
      </c>
      <c r="H5" s="1" t="s">
        <v>125</v>
      </c>
      <c r="I5" s="1" t="s">
        <v>125</v>
      </c>
      <c r="J5" s="1" t="s">
        <v>127</v>
      </c>
      <c r="K5" s="1" t="s">
        <v>125</v>
      </c>
      <c r="L5" s="1" t="s">
        <v>125</v>
      </c>
      <c r="M5" s="1" t="s">
        <v>125</v>
      </c>
      <c r="N5" s="1" t="s">
        <v>125</v>
      </c>
      <c r="O5" s="1" t="s">
        <v>125</v>
      </c>
      <c r="P5" s="1" t="s">
        <v>125</v>
      </c>
      <c r="Q5" s="1" t="s">
        <v>125</v>
      </c>
      <c r="R5" s="1" t="s">
        <v>125</v>
      </c>
      <c r="S5" s="1" t="s">
        <v>125</v>
      </c>
      <c r="T5" s="1" t="s">
        <v>125</v>
      </c>
      <c r="U5" s="1" t="s">
        <v>125</v>
      </c>
      <c r="V5" s="1">
        <f t="shared" si="0"/>
        <v>19</v>
      </c>
      <c r="W5" s="5">
        <f t="shared" si="1"/>
        <v>0.95</v>
      </c>
      <c r="X5" s="1" t="str">
        <f t="shared" si="2"/>
        <v>REGULAR</v>
      </c>
    </row>
    <row r="6" spans="1:24" x14ac:dyDescent="0.25">
      <c r="A6" s="1" t="s">
        <v>29</v>
      </c>
      <c r="B6" s="1" t="s">
        <v>125</v>
      </c>
      <c r="C6" s="1" t="s">
        <v>125</v>
      </c>
      <c r="D6" s="1" t="s">
        <v>125</v>
      </c>
      <c r="E6" s="1" t="s">
        <v>125</v>
      </c>
      <c r="F6" s="1" t="s">
        <v>125</v>
      </c>
      <c r="G6" s="1" t="s">
        <v>125</v>
      </c>
      <c r="H6" s="1" t="s">
        <v>125</v>
      </c>
      <c r="I6" s="1" t="s">
        <v>125</v>
      </c>
      <c r="J6" s="1" t="s">
        <v>125</v>
      </c>
      <c r="K6" s="1" t="s">
        <v>125</v>
      </c>
      <c r="L6" s="1" t="s">
        <v>125</v>
      </c>
      <c r="M6" s="1" t="s">
        <v>125</v>
      </c>
      <c r="N6" s="1" t="s">
        <v>125</v>
      </c>
      <c r="O6" s="1" t="s">
        <v>125</v>
      </c>
      <c r="P6" s="1" t="s">
        <v>125</v>
      </c>
      <c r="Q6" s="1" t="s">
        <v>125</v>
      </c>
      <c r="R6" s="1" t="s">
        <v>125</v>
      </c>
      <c r="S6" s="1" t="s">
        <v>125</v>
      </c>
      <c r="T6" s="1" t="s">
        <v>125</v>
      </c>
      <c r="U6" s="1" t="s">
        <v>125</v>
      </c>
      <c r="V6" s="1">
        <f t="shared" si="0"/>
        <v>20</v>
      </c>
      <c r="W6" s="5">
        <f t="shared" si="1"/>
        <v>1</v>
      </c>
      <c r="X6" s="1" t="str">
        <f t="shared" si="2"/>
        <v>REGULAR</v>
      </c>
    </row>
    <row r="7" spans="1:24" x14ac:dyDescent="0.25">
      <c r="A7" s="1" t="s">
        <v>33</v>
      </c>
      <c r="B7" s="1" t="s">
        <v>125</v>
      </c>
      <c r="C7" s="1" t="s">
        <v>125</v>
      </c>
      <c r="D7" s="1" t="s">
        <v>127</v>
      </c>
      <c r="E7" s="1" t="s">
        <v>125</v>
      </c>
      <c r="F7" s="1" t="s">
        <v>125</v>
      </c>
      <c r="G7" s="1" t="s">
        <v>125</v>
      </c>
      <c r="H7" s="1" t="s">
        <v>125</v>
      </c>
      <c r="I7" s="1" t="s">
        <v>125</v>
      </c>
      <c r="J7" s="1" t="s">
        <v>125</v>
      </c>
      <c r="K7" s="1" t="s">
        <v>125</v>
      </c>
      <c r="L7" s="1" t="s">
        <v>125</v>
      </c>
      <c r="M7" s="1" t="s">
        <v>126</v>
      </c>
      <c r="N7" s="1" t="s">
        <v>125</v>
      </c>
      <c r="O7" s="1" t="s">
        <v>125</v>
      </c>
      <c r="P7" s="1" t="s">
        <v>125</v>
      </c>
      <c r="Q7" s="1" t="s">
        <v>125</v>
      </c>
      <c r="R7" s="1" t="s">
        <v>125</v>
      </c>
      <c r="S7" s="1" t="s">
        <v>125</v>
      </c>
      <c r="T7" s="1" t="s">
        <v>125</v>
      </c>
      <c r="U7" s="1" t="s">
        <v>125</v>
      </c>
      <c r="V7" s="1">
        <f t="shared" si="0"/>
        <v>18</v>
      </c>
      <c r="W7" s="5">
        <f t="shared" si="1"/>
        <v>0.9</v>
      </c>
      <c r="X7" s="1" t="str">
        <f t="shared" si="2"/>
        <v>ATTENTION REQUIRED</v>
      </c>
    </row>
    <row r="8" spans="1:24" x14ac:dyDescent="0.25">
      <c r="A8" s="1" t="s">
        <v>37</v>
      </c>
      <c r="B8" s="1" t="s">
        <v>125</v>
      </c>
      <c r="C8" s="1" t="s">
        <v>125</v>
      </c>
      <c r="D8" s="1" t="s">
        <v>125</v>
      </c>
      <c r="E8" s="1" t="s">
        <v>125</v>
      </c>
      <c r="F8" s="1" t="s">
        <v>125</v>
      </c>
      <c r="G8" s="1" t="s">
        <v>125</v>
      </c>
      <c r="H8" s="1" t="s">
        <v>125</v>
      </c>
      <c r="I8" s="1" t="s">
        <v>125</v>
      </c>
      <c r="J8" s="1" t="s">
        <v>125</v>
      </c>
      <c r="K8" s="1" t="s">
        <v>125</v>
      </c>
      <c r="L8" s="1" t="s">
        <v>125</v>
      </c>
      <c r="M8" s="1" t="s">
        <v>125</v>
      </c>
      <c r="N8" s="1" t="s">
        <v>125</v>
      </c>
      <c r="O8" s="1" t="s">
        <v>125</v>
      </c>
      <c r="P8" s="1" t="s">
        <v>125</v>
      </c>
      <c r="Q8" s="1" t="s">
        <v>126</v>
      </c>
      <c r="R8" s="1" t="s">
        <v>125</v>
      </c>
      <c r="S8" s="1" t="s">
        <v>125</v>
      </c>
      <c r="T8" s="1" t="s">
        <v>125</v>
      </c>
      <c r="U8" s="1" t="s">
        <v>125</v>
      </c>
      <c r="V8" s="1">
        <f t="shared" si="0"/>
        <v>19</v>
      </c>
      <c r="W8" s="5">
        <f t="shared" si="1"/>
        <v>0.95</v>
      </c>
      <c r="X8" s="1" t="str">
        <f t="shared" si="2"/>
        <v>REGULAR</v>
      </c>
    </row>
    <row r="9" spans="1:24" x14ac:dyDescent="0.25">
      <c r="A9" s="1" t="s">
        <v>40</v>
      </c>
      <c r="B9" s="1" t="s">
        <v>125</v>
      </c>
      <c r="C9" s="1" t="s">
        <v>125</v>
      </c>
      <c r="D9" s="1" t="s">
        <v>125</v>
      </c>
      <c r="E9" s="1" t="s">
        <v>125</v>
      </c>
      <c r="F9" s="1" t="s">
        <v>125</v>
      </c>
      <c r="G9" s="1" t="s">
        <v>125</v>
      </c>
      <c r="H9" s="1" t="s">
        <v>125</v>
      </c>
      <c r="I9" s="1" t="s">
        <v>125</v>
      </c>
      <c r="J9" s="1" t="s">
        <v>125</v>
      </c>
      <c r="K9" s="1" t="s">
        <v>125</v>
      </c>
      <c r="L9" s="1" t="s">
        <v>125</v>
      </c>
      <c r="M9" s="1" t="s">
        <v>125</v>
      </c>
      <c r="N9" s="1" t="s">
        <v>125</v>
      </c>
      <c r="O9" s="1" t="s">
        <v>125</v>
      </c>
      <c r="P9" s="1" t="s">
        <v>125</v>
      </c>
      <c r="Q9" s="1" t="s">
        <v>125</v>
      </c>
      <c r="R9" s="1" t="s">
        <v>125</v>
      </c>
      <c r="S9" s="1" t="s">
        <v>125</v>
      </c>
      <c r="T9" s="1" t="s">
        <v>125</v>
      </c>
      <c r="U9" s="1" t="s">
        <v>125</v>
      </c>
      <c r="V9" s="1">
        <f t="shared" si="0"/>
        <v>20</v>
      </c>
      <c r="W9" s="5">
        <f t="shared" si="1"/>
        <v>1</v>
      </c>
      <c r="X9" s="1" t="str">
        <f t="shared" si="2"/>
        <v>REGULAR</v>
      </c>
    </row>
  </sheetData>
  <phoneticPr fontId="4" type="noConversion"/>
  <conditionalFormatting sqref="A2:XFD1048576">
    <cfRule type="expression" dxfId="3" priority="1">
      <formula>ISEVEN(ROW())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Management_Dashboard</vt:lpstr>
      <vt:lpstr>CRM_Audit_Log</vt:lpstr>
      <vt:lpstr>Analyst_KPI_Tracker</vt:lpstr>
      <vt:lpstr>Daily_Attendance_Register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Demi Boy</dc:creator>
  <cp:lastModifiedBy>Demi Boy</cp:lastModifiedBy>
  <dcterms:created xsi:type="dcterms:W3CDTF">2026-08-19T09:40:55Z</dcterms:created>
  <dcterms:modified xsi:type="dcterms:W3CDTF">2026-08-19T12:52:56Z</dcterms:modified>
</cp:coreProperties>
</file>